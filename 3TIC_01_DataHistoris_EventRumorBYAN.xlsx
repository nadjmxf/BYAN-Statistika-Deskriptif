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\Semester 5\Statistika\"/>
    </mc:Choice>
  </mc:AlternateContent>
  <xr:revisionPtr revIDLastSave="0" documentId="13_ncr:1_{E5F7D53D-7F22-4D4B-8792-C3E1333EAA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YAN_Analysis" sheetId="1" r:id="rId1"/>
    <sheet name="Event_Rumor" sheetId="3" r:id="rId2"/>
    <sheet name="Parameter" sheetId="4" r:id="rId3"/>
    <sheet name="Skala_Variabel" sheetId="6" r:id="rId4"/>
  </sheets>
  <definedNames>
    <definedName name="_xlnm._FilterDatabase" localSheetId="0" hidden="1">BYAN_Analysis!$A$1:$K$651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y66q8TbGMxPHr6D7dhgM+UzVoGLmHy0kTPhER+jaGM="/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5" i="3"/>
  <c r="G4" i="3"/>
  <c r="G3" i="3"/>
  <c r="G2" i="3"/>
  <c r="J651" i="1" a="1"/>
  <c r="J651" i="1" s="1"/>
  <c r="L651" i="1" s="1" a="1"/>
  <c r="L651" i="1" s="1"/>
  <c r="I651" i="1"/>
  <c r="K651" i="1" s="1" a="1"/>
  <c r="K651" i="1" s="1"/>
  <c r="H651" i="1"/>
  <c r="G651" i="1"/>
  <c r="J650" i="1" a="1"/>
  <c r="J650" i="1" s="1"/>
  <c r="L650" i="1" s="1" a="1"/>
  <c r="L650" i="1" s="1"/>
  <c r="I650" i="1"/>
  <c r="K650" i="1" s="1" a="1"/>
  <c r="K650" i="1" s="1"/>
  <c r="H650" i="1"/>
  <c r="G650" i="1"/>
  <c r="J649" i="1" a="1"/>
  <c r="J649" i="1"/>
  <c r="L649" i="1" s="1" a="1"/>
  <c r="L649" i="1" s="1"/>
  <c r="I649" i="1"/>
  <c r="K649" i="1" s="1" a="1"/>
  <c r="K649" i="1" s="1"/>
  <c r="H649" i="1"/>
  <c r="G649" i="1"/>
  <c r="J648" i="1" a="1"/>
  <c r="J648" i="1"/>
  <c r="L648" i="1" s="1" a="1"/>
  <c r="L648" i="1" s="1"/>
  <c r="I648" i="1"/>
  <c r="K648" i="1" s="1" a="1"/>
  <c r="K648" i="1" s="1"/>
  <c r="H648" i="1"/>
  <c r="G648" i="1"/>
  <c r="J647" i="1" a="1"/>
  <c r="J647" i="1"/>
  <c r="L647" i="1" s="1" a="1"/>
  <c r="L647" i="1" s="1"/>
  <c r="I647" i="1"/>
  <c r="K647" i="1" s="1" a="1"/>
  <c r="K647" i="1" s="1"/>
  <c r="H647" i="1"/>
  <c r="G647" i="1"/>
  <c r="J646" i="1" a="1"/>
  <c r="J646" i="1"/>
  <c r="L646" i="1" s="1" a="1"/>
  <c r="L646" i="1" s="1"/>
  <c r="I646" i="1"/>
  <c r="K646" i="1" s="1" a="1"/>
  <c r="K646" i="1" s="1"/>
  <c r="H646" i="1"/>
  <c r="G646" i="1"/>
  <c r="J645" i="1" a="1"/>
  <c r="J645" i="1"/>
  <c r="L645" i="1" s="1" a="1"/>
  <c r="L645" i="1" s="1"/>
  <c r="I645" i="1"/>
  <c r="K645" i="1" s="1" a="1"/>
  <c r="K645" i="1" s="1"/>
  <c r="H645" i="1"/>
  <c r="G645" i="1"/>
  <c r="J644" i="1" a="1"/>
  <c r="J644" i="1"/>
  <c r="L644" i="1" s="1" a="1"/>
  <c r="L644" i="1" s="1"/>
  <c r="I644" i="1"/>
  <c r="K644" i="1" s="1" a="1"/>
  <c r="K644" i="1" s="1"/>
  <c r="H644" i="1"/>
  <c r="G644" i="1"/>
  <c r="J643" i="1" a="1"/>
  <c r="J643" i="1"/>
  <c r="L643" i="1" s="1" a="1"/>
  <c r="L643" i="1" s="1"/>
  <c r="I643" i="1"/>
  <c r="K643" i="1" s="1" a="1"/>
  <c r="K643" i="1" s="1"/>
  <c r="H643" i="1"/>
  <c r="G643" i="1"/>
  <c r="J642" i="1" a="1"/>
  <c r="J642" i="1"/>
  <c r="L642" i="1" s="1" a="1"/>
  <c r="L642" i="1" s="1"/>
  <c r="I642" i="1"/>
  <c r="K642" i="1" s="1" a="1"/>
  <c r="K642" i="1" s="1"/>
  <c r="H642" i="1"/>
  <c r="G642" i="1"/>
  <c r="J641" i="1" a="1"/>
  <c r="J641" i="1"/>
  <c r="L641" i="1" s="1" a="1"/>
  <c r="L641" i="1" s="1"/>
  <c r="I641" i="1"/>
  <c r="K641" i="1" s="1" a="1"/>
  <c r="K641" i="1" s="1"/>
  <c r="H641" i="1"/>
  <c r="G641" i="1"/>
  <c r="J640" i="1" a="1"/>
  <c r="J640" i="1"/>
  <c r="L640" i="1" s="1" a="1"/>
  <c r="L640" i="1" s="1"/>
  <c r="I640" i="1"/>
  <c r="K640" i="1" s="1" a="1"/>
  <c r="K640" i="1" s="1"/>
  <c r="H640" i="1"/>
  <c r="G640" i="1"/>
  <c r="J639" i="1" a="1"/>
  <c r="J639" i="1"/>
  <c r="L639" i="1" s="1" a="1"/>
  <c r="L639" i="1" s="1"/>
  <c r="I639" i="1"/>
  <c r="K639" i="1" s="1" a="1"/>
  <c r="K639" i="1" s="1"/>
  <c r="H639" i="1"/>
  <c r="G639" i="1"/>
  <c r="J638" i="1" a="1"/>
  <c r="J638" i="1"/>
  <c r="L638" i="1" s="1" a="1"/>
  <c r="L638" i="1" s="1"/>
  <c r="I638" i="1"/>
  <c r="K638" i="1" s="1" a="1"/>
  <c r="K638" i="1" s="1"/>
  <c r="H638" i="1"/>
  <c r="G638" i="1"/>
  <c r="J637" i="1" a="1"/>
  <c r="J637" i="1"/>
  <c r="L637" i="1" s="1" a="1"/>
  <c r="L637" i="1" s="1"/>
  <c r="I637" i="1"/>
  <c r="K637" i="1" s="1" a="1"/>
  <c r="K637" i="1" s="1"/>
  <c r="H637" i="1"/>
  <c r="G637" i="1"/>
  <c r="J636" i="1" a="1"/>
  <c r="J636" i="1"/>
  <c r="L636" i="1" s="1" a="1"/>
  <c r="L636" i="1" s="1"/>
  <c r="I636" i="1"/>
  <c r="K636" i="1" s="1" a="1"/>
  <c r="K636" i="1" s="1"/>
  <c r="H636" i="1"/>
  <c r="G636" i="1"/>
  <c r="J635" i="1" a="1"/>
  <c r="J635" i="1"/>
  <c r="L635" i="1" s="1" a="1"/>
  <c r="L635" i="1" s="1"/>
  <c r="I635" i="1"/>
  <c r="K635" i="1" s="1" a="1"/>
  <c r="K635" i="1" s="1"/>
  <c r="H635" i="1"/>
  <c r="G635" i="1"/>
  <c r="J634" i="1" a="1"/>
  <c r="J634" i="1"/>
  <c r="L634" i="1" s="1" a="1"/>
  <c r="L634" i="1" s="1"/>
  <c r="I634" i="1"/>
  <c r="K634" i="1" s="1" a="1"/>
  <c r="K634" i="1" s="1"/>
  <c r="H634" i="1"/>
  <c r="G634" i="1"/>
  <c r="J633" i="1" a="1"/>
  <c r="J633" i="1"/>
  <c r="L633" i="1" s="1" a="1"/>
  <c r="L633" i="1" s="1"/>
  <c r="I633" i="1"/>
  <c r="K633" i="1" s="1" a="1"/>
  <c r="K633" i="1" s="1"/>
  <c r="H633" i="1"/>
  <c r="G633" i="1"/>
  <c r="J632" i="1" a="1"/>
  <c r="J632" i="1"/>
  <c r="L632" i="1" s="1" a="1"/>
  <c r="L632" i="1" s="1"/>
  <c r="I632" i="1"/>
  <c r="K632" i="1" s="1" a="1"/>
  <c r="K632" i="1" s="1"/>
  <c r="H632" i="1"/>
  <c r="G632" i="1"/>
  <c r="J631" i="1" a="1"/>
  <c r="J631" i="1"/>
  <c r="L631" i="1" s="1" a="1"/>
  <c r="L631" i="1" s="1"/>
  <c r="I631" i="1"/>
  <c r="K631" i="1" s="1" a="1"/>
  <c r="K631" i="1" s="1"/>
  <c r="H631" i="1"/>
  <c r="G631" i="1"/>
  <c r="J630" i="1" a="1"/>
  <c r="J630" i="1"/>
  <c r="L630" i="1" s="1" a="1"/>
  <c r="L630" i="1" s="1"/>
  <c r="I630" i="1"/>
  <c r="K630" i="1" s="1" a="1"/>
  <c r="K630" i="1" s="1"/>
  <c r="H630" i="1"/>
  <c r="G630" i="1"/>
  <c r="J629" i="1" a="1"/>
  <c r="J629" i="1"/>
  <c r="L629" i="1" s="1" a="1"/>
  <c r="L629" i="1" s="1"/>
  <c r="I629" i="1"/>
  <c r="K629" i="1" s="1" a="1"/>
  <c r="K629" i="1" s="1"/>
  <c r="H629" i="1"/>
  <c r="G629" i="1"/>
  <c r="J628" i="1" a="1"/>
  <c r="J628" i="1"/>
  <c r="L628" i="1" s="1" a="1"/>
  <c r="L628" i="1" s="1"/>
  <c r="I628" i="1"/>
  <c r="K628" i="1" s="1" a="1"/>
  <c r="K628" i="1" s="1"/>
  <c r="H628" i="1"/>
  <c r="G628" i="1"/>
  <c r="J627" i="1" a="1"/>
  <c r="J627" i="1"/>
  <c r="L627" i="1" s="1" a="1"/>
  <c r="L627" i="1" s="1"/>
  <c r="I627" i="1"/>
  <c r="K627" i="1" s="1" a="1"/>
  <c r="K627" i="1" s="1"/>
  <c r="H627" i="1"/>
  <c r="G627" i="1"/>
  <c r="J626" i="1" a="1"/>
  <c r="J626" i="1"/>
  <c r="L626" i="1" s="1" a="1"/>
  <c r="L626" i="1" s="1"/>
  <c r="I626" i="1"/>
  <c r="K626" i="1" s="1" a="1"/>
  <c r="K626" i="1" s="1"/>
  <c r="H626" i="1"/>
  <c r="G626" i="1"/>
  <c r="J625" i="1" a="1"/>
  <c r="J625" i="1"/>
  <c r="L625" i="1" s="1" a="1"/>
  <c r="L625" i="1" s="1"/>
  <c r="I625" i="1"/>
  <c r="K625" i="1" s="1" a="1"/>
  <c r="K625" i="1" s="1"/>
  <c r="H625" i="1"/>
  <c r="G625" i="1"/>
  <c r="J624" i="1" a="1"/>
  <c r="J624" i="1"/>
  <c r="L624" i="1" s="1" a="1"/>
  <c r="L624" i="1" s="1"/>
  <c r="I624" i="1"/>
  <c r="K624" i="1" s="1" a="1"/>
  <c r="K624" i="1" s="1"/>
  <c r="H624" i="1"/>
  <c r="G624" i="1"/>
  <c r="J623" i="1" a="1"/>
  <c r="J623" i="1"/>
  <c r="L623" i="1" s="1" a="1"/>
  <c r="L623" i="1" s="1"/>
  <c r="I623" i="1"/>
  <c r="K623" i="1" s="1" a="1"/>
  <c r="K623" i="1" s="1"/>
  <c r="H623" i="1"/>
  <c r="G623" i="1"/>
  <c r="J622" i="1" a="1"/>
  <c r="J622" i="1"/>
  <c r="L622" i="1" s="1" a="1"/>
  <c r="L622" i="1" s="1"/>
  <c r="I622" i="1"/>
  <c r="K622" i="1" s="1" a="1"/>
  <c r="K622" i="1" s="1"/>
  <c r="H622" i="1"/>
  <c r="G622" i="1"/>
  <c r="J621" i="1" a="1"/>
  <c r="J621" i="1"/>
  <c r="L621" i="1" s="1" a="1"/>
  <c r="L621" i="1" s="1"/>
  <c r="I621" i="1"/>
  <c r="K621" i="1" s="1" a="1"/>
  <c r="K621" i="1" s="1"/>
  <c r="H621" i="1"/>
  <c r="G621" i="1"/>
  <c r="J620" i="1" a="1"/>
  <c r="J620" i="1"/>
  <c r="L620" i="1" s="1" a="1"/>
  <c r="L620" i="1" s="1"/>
  <c r="I620" i="1"/>
  <c r="K620" i="1" s="1" a="1"/>
  <c r="K620" i="1" s="1"/>
  <c r="H620" i="1"/>
  <c r="G620" i="1"/>
  <c r="J619" i="1" a="1"/>
  <c r="J619" i="1"/>
  <c r="L619" i="1" s="1" a="1"/>
  <c r="L619" i="1" s="1"/>
  <c r="I619" i="1"/>
  <c r="K619" i="1" s="1" a="1"/>
  <c r="K619" i="1" s="1"/>
  <c r="H619" i="1"/>
  <c r="G619" i="1"/>
  <c r="J618" i="1" a="1"/>
  <c r="J618" i="1"/>
  <c r="L618" i="1" s="1" a="1"/>
  <c r="L618" i="1" s="1"/>
  <c r="I618" i="1"/>
  <c r="K618" i="1" s="1" a="1"/>
  <c r="K618" i="1" s="1"/>
  <c r="H618" i="1"/>
  <c r="G618" i="1"/>
  <c r="J617" i="1" a="1"/>
  <c r="J617" i="1"/>
  <c r="L617" i="1" s="1" a="1"/>
  <c r="L617" i="1" s="1"/>
  <c r="I617" i="1"/>
  <c r="K617" i="1" s="1" a="1"/>
  <c r="K617" i="1" s="1"/>
  <c r="H617" i="1"/>
  <c r="G617" i="1"/>
  <c r="J616" i="1" a="1"/>
  <c r="J616" i="1"/>
  <c r="L616" i="1" s="1" a="1"/>
  <c r="L616" i="1" s="1"/>
  <c r="I616" i="1"/>
  <c r="K616" i="1" s="1" a="1"/>
  <c r="K616" i="1" s="1"/>
  <c r="H616" i="1"/>
  <c r="G616" i="1"/>
  <c r="J615" i="1" a="1"/>
  <c r="J615" i="1"/>
  <c r="L615" i="1" s="1" a="1"/>
  <c r="L615" i="1" s="1"/>
  <c r="I615" i="1"/>
  <c r="K615" i="1" s="1" a="1"/>
  <c r="K615" i="1" s="1"/>
  <c r="H615" i="1"/>
  <c r="G615" i="1"/>
  <c r="J614" i="1" a="1"/>
  <c r="J614" i="1"/>
  <c r="L614" i="1" s="1" a="1"/>
  <c r="L614" i="1" s="1"/>
  <c r="I614" i="1"/>
  <c r="K614" i="1" s="1" a="1"/>
  <c r="K614" i="1" s="1"/>
  <c r="H614" i="1"/>
  <c r="G614" i="1"/>
  <c r="J613" i="1" a="1"/>
  <c r="J613" i="1"/>
  <c r="L613" i="1" s="1" a="1"/>
  <c r="L613" i="1" s="1"/>
  <c r="I613" i="1"/>
  <c r="K613" i="1" s="1" a="1"/>
  <c r="K613" i="1" s="1"/>
  <c r="H613" i="1"/>
  <c r="G613" i="1"/>
  <c r="J612" i="1" a="1"/>
  <c r="J612" i="1"/>
  <c r="L612" i="1" s="1" a="1"/>
  <c r="L612" i="1" s="1"/>
  <c r="I612" i="1"/>
  <c r="K612" i="1" s="1" a="1"/>
  <c r="K612" i="1" s="1"/>
  <c r="H612" i="1"/>
  <c r="G612" i="1"/>
  <c r="J611" i="1" a="1"/>
  <c r="J611" i="1"/>
  <c r="L611" i="1" s="1" a="1"/>
  <c r="L611" i="1" s="1"/>
  <c r="I611" i="1"/>
  <c r="K611" i="1" s="1" a="1"/>
  <c r="K611" i="1" s="1"/>
  <c r="H611" i="1"/>
  <c r="G611" i="1"/>
  <c r="J610" i="1" a="1"/>
  <c r="J610" i="1"/>
  <c r="L610" i="1" s="1" a="1"/>
  <c r="L610" i="1" s="1"/>
  <c r="I610" i="1"/>
  <c r="K610" i="1" s="1" a="1"/>
  <c r="K610" i="1" s="1"/>
  <c r="H610" i="1"/>
  <c r="G610" i="1"/>
  <c r="J609" i="1" a="1"/>
  <c r="J609" i="1"/>
  <c r="L609" i="1" s="1" a="1"/>
  <c r="L609" i="1" s="1"/>
  <c r="I609" i="1"/>
  <c r="K609" i="1" s="1" a="1"/>
  <c r="K609" i="1" s="1"/>
  <c r="H609" i="1"/>
  <c r="G609" i="1"/>
  <c r="J608" i="1" a="1"/>
  <c r="J608" i="1"/>
  <c r="L608" i="1" s="1" a="1"/>
  <c r="L608" i="1" s="1"/>
  <c r="I608" i="1"/>
  <c r="K608" i="1" s="1" a="1"/>
  <c r="K608" i="1" s="1"/>
  <c r="H608" i="1"/>
  <c r="G608" i="1"/>
  <c r="J607" i="1" a="1"/>
  <c r="J607" i="1"/>
  <c r="L607" i="1" s="1" a="1"/>
  <c r="L607" i="1" s="1"/>
  <c r="I607" i="1"/>
  <c r="K607" i="1" s="1" a="1"/>
  <c r="K607" i="1" s="1"/>
  <c r="H607" i="1"/>
  <c r="G607" i="1"/>
  <c r="J606" i="1" a="1"/>
  <c r="J606" i="1"/>
  <c r="L606" i="1" s="1" a="1"/>
  <c r="L606" i="1" s="1"/>
  <c r="I606" i="1"/>
  <c r="K606" i="1" s="1" a="1"/>
  <c r="K606" i="1" s="1"/>
  <c r="H606" i="1"/>
  <c r="G606" i="1"/>
  <c r="J605" i="1" a="1"/>
  <c r="J605" i="1"/>
  <c r="L605" i="1" s="1" a="1"/>
  <c r="L605" i="1" s="1"/>
  <c r="I605" i="1"/>
  <c r="K605" i="1" s="1" a="1"/>
  <c r="K605" i="1" s="1"/>
  <c r="H605" i="1"/>
  <c r="G605" i="1"/>
  <c r="J604" i="1" a="1"/>
  <c r="J604" i="1"/>
  <c r="L604" i="1" s="1" a="1"/>
  <c r="L604" i="1" s="1"/>
  <c r="I604" i="1"/>
  <c r="K604" i="1" s="1" a="1"/>
  <c r="K604" i="1" s="1"/>
  <c r="H604" i="1"/>
  <c r="G604" i="1"/>
  <c r="J603" i="1" a="1"/>
  <c r="J603" i="1"/>
  <c r="L603" i="1" s="1" a="1"/>
  <c r="L603" i="1" s="1"/>
  <c r="I603" i="1"/>
  <c r="K603" i="1" s="1" a="1"/>
  <c r="K603" i="1" s="1"/>
  <c r="H603" i="1"/>
  <c r="G603" i="1"/>
  <c r="J602" i="1" a="1"/>
  <c r="J602" i="1"/>
  <c r="L602" i="1" s="1" a="1"/>
  <c r="L602" i="1" s="1"/>
  <c r="I602" i="1"/>
  <c r="K602" i="1" s="1" a="1"/>
  <c r="K602" i="1" s="1"/>
  <c r="H602" i="1"/>
  <c r="G602" i="1"/>
  <c r="J601" i="1" a="1"/>
  <c r="J601" i="1"/>
  <c r="L601" i="1" s="1" a="1"/>
  <c r="L601" i="1" s="1"/>
  <c r="I601" i="1"/>
  <c r="K601" i="1" s="1" a="1"/>
  <c r="K601" i="1" s="1"/>
  <c r="H601" i="1"/>
  <c r="G601" i="1"/>
  <c r="J600" i="1" a="1"/>
  <c r="J600" i="1"/>
  <c r="L600" i="1" s="1" a="1"/>
  <c r="L600" i="1" s="1"/>
  <c r="I600" i="1"/>
  <c r="K600" i="1" s="1" a="1"/>
  <c r="K600" i="1" s="1"/>
  <c r="H600" i="1"/>
  <c r="G600" i="1"/>
  <c r="J599" i="1" a="1"/>
  <c r="J599" i="1"/>
  <c r="L599" i="1" s="1" a="1"/>
  <c r="L599" i="1" s="1"/>
  <c r="I599" i="1"/>
  <c r="K599" i="1" s="1" a="1"/>
  <c r="K599" i="1" s="1"/>
  <c r="H599" i="1"/>
  <c r="G599" i="1"/>
  <c r="J598" i="1" a="1"/>
  <c r="J598" i="1"/>
  <c r="L598" i="1" s="1" a="1"/>
  <c r="L598" i="1" s="1"/>
  <c r="I598" i="1"/>
  <c r="K598" i="1" s="1" a="1"/>
  <c r="K598" i="1" s="1"/>
  <c r="H598" i="1"/>
  <c r="G598" i="1"/>
  <c r="J597" i="1" a="1"/>
  <c r="J597" i="1"/>
  <c r="L597" i="1" s="1" a="1"/>
  <c r="L597" i="1" s="1"/>
  <c r="I597" i="1"/>
  <c r="K597" i="1" s="1" a="1"/>
  <c r="K597" i="1" s="1"/>
  <c r="H597" i="1"/>
  <c r="G597" i="1"/>
  <c r="J596" i="1" a="1"/>
  <c r="J596" i="1"/>
  <c r="L596" i="1" s="1" a="1"/>
  <c r="L596" i="1" s="1"/>
  <c r="I596" i="1"/>
  <c r="K596" i="1" s="1" a="1"/>
  <c r="K596" i="1" s="1"/>
  <c r="H596" i="1"/>
  <c r="G596" i="1"/>
  <c r="J595" i="1" a="1"/>
  <c r="J595" i="1"/>
  <c r="L595" i="1" s="1" a="1"/>
  <c r="L595" i="1" s="1"/>
  <c r="I595" i="1"/>
  <c r="K595" i="1" s="1" a="1"/>
  <c r="K595" i="1" s="1"/>
  <c r="H595" i="1"/>
  <c r="G595" i="1"/>
  <c r="J594" i="1" a="1"/>
  <c r="J594" i="1"/>
  <c r="L594" i="1" s="1" a="1"/>
  <c r="L594" i="1" s="1"/>
  <c r="I594" i="1"/>
  <c r="K594" i="1" s="1" a="1"/>
  <c r="K594" i="1" s="1"/>
  <c r="H594" i="1"/>
  <c r="G594" i="1"/>
  <c r="J593" i="1" a="1"/>
  <c r="J593" i="1"/>
  <c r="L593" i="1" s="1" a="1"/>
  <c r="L593" i="1" s="1"/>
  <c r="I593" i="1"/>
  <c r="K593" i="1" s="1" a="1"/>
  <c r="K593" i="1" s="1"/>
  <c r="H593" i="1"/>
  <c r="G593" i="1"/>
  <c r="J592" i="1" a="1"/>
  <c r="J592" i="1"/>
  <c r="L592" i="1" s="1" a="1"/>
  <c r="L592" i="1" s="1"/>
  <c r="I592" i="1"/>
  <c r="K592" i="1" s="1" a="1"/>
  <c r="K592" i="1" s="1"/>
  <c r="H592" i="1"/>
  <c r="G592" i="1"/>
  <c r="J591" i="1" a="1"/>
  <c r="J591" i="1"/>
  <c r="L591" i="1" s="1" a="1"/>
  <c r="L591" i="1" s="1"/>
  <c r="I591" i="1"/>
  <c r="K591" i="1" s="1" a="1"/>
  <c r="K591" i="1" s="1"/>
  <c r="H591" i="1"/>
  <c r="G591" i="1"/>
  <c r="J590" i="1" a="1"/>
  <c r="J590" i="1"/>
  <c r="L590" i="1" s="1" a="1"/>
  <c r="L590" i="1" s="1"/>
  <c r="I590" i="1"/>
  <c r="K590" i="1" s="1" a="1"/>
  <c r="K590" i="1" s="1"/>
  <c r="H590" i="1"/>
  <c r="G590" i="1"/>
  <c r="I589" i="1"/>
  <c r="H589" i="1"/>
  <c r="G589" i="1"/>
  <c r="I588" i="1"/>
  <c r="H588" i="1"/>
  <c r="G588" i="1"/>
  <c r="J587" i="1" a="1"/>
  <c r="J587" i="1" s="1"/>
  <c r="L587" i="1" s="1" a="1"/>
  <c r="L587" i="1" s="1"/>
  <c r="I587" i="1"/>
  <c r="K587" i="1" s="1" a="1"/>
  <c r="K587" i="1" s="1"/>
  <c r="H587" i="1"/>
  <c r="G587" i="1"/>
  <c r="J586" i="1" a="1"/>
  <c r="J586" i="1"/>
  <c r="L586" i="1" s="1" a="1"/>
  <c r="L586" i="1" s="1"/>
  <c r="I586" i="1"/>
  <c r="K586" i="1" s="1" a="1"/>
  <c r="K586" i="1" s="1"/>
  <c r="H586" i="1"/>
  <c r="G586" i="1"/>
  <c r="J585" i="1" a="1"/>
  <c r="J585" i="1"/>
  <c r="L585" i="1" s="1" a="1"/>
  <c r="L585" i="1" s="1"/>
  <c r="I585" i="1"/>
  <c r="K585" i="1" s="1" a="1"/>
  <c r="K585" i="1" s="1"/>
  <c r="H585" i="1"/>
  <c r="G585" i="1"/>
  <c r="J584" i="1" a="1"/>
  <c r="J584" i="1"/>
  <c r="L584" i="1" s="1" a="1"/>
  <c r="L584" i="1" s="1"/>
  <c r="I584" i="1"/>
  <c r="K584" i="1" s="1" a="1"/>
  <c r="K584" i="1" s="1"/>
  <c r="H584" i="1"/>
  <c r="G584" i="1"/>
  <c r="J583" i="1" a="1"/>
  <c r="J583" i="1"/>
  <c r="L583" i="1" s="1" a="1"/>
  <c r="L583" i="1" s="1"/>
  <c r="I583" i="1"/>
  <c r="K583" i="1" s="1" a="1"/>
  <c r="K583" i="1" s="1"/>
  <c r="H583" i="1"/>
  <c r="G583" i="1"/>
  <c r="J582" i="1" a="1"/>
  <c r="J582" i="1"/>
  <c r="L582" i="1" s="1" a="1"/>
  <c r="L582" i="1" s="1"/>
  <c r="I582" i="1"/>
  <c r="K582" i="1" s="1" a="1"/>
  <c r="K582" i="1" s="1"/>
  <c r="H582" i="1"/>
  <c r="G582" i="1"/>
  <c r="J581" i="1" a="1"/>
  <c r="J581" i="1"/>
  <c r="L581" i="1" s="1" a="1"/>
  <c r="L581" i="1" s="1"/>
  <c r="I581" i="1"/>
  <c r="K581" i="1" s="1" a="1"/>
  <c r="K581" i="1" s="1"/>
  <c r="H581" i="1"/>
  <c r="G581" i="1"/>
  <c r="J580" i="1" a="1"/>
  <c r="J580" i="1"/>
  <c r="L580" i="1" s="1" a="1"/>
  <c r="L580" i="1" s="1"/>
  <c r="I580" i="1"/>
  <c r="K580" i="1" s="1" a="1"/>
  <c r="K580" i="1" s="1"/>
  <c r="H580" i="1"/>
  <c r="G580" i="1"/>
  <c r="J579" i="1" a="1"/>
  <c r="J579" i="1"/>
  <c r="L579" i="1" s="1" a="1"/>
  <c r="L579" i="1" s="1"/>
  <c r="I579" i="1"/>
  <c r="K579" i="1" s="1" a="1"/>
  <c r="K579" i="1" s="1"/>
  <c r="H579" i="1"/>
  <c r="G579" i="1"/>
  <c r="J578" i="1" a="1"/>
  <c r="J578" i="1"/>
  <c r="L578" i="1" s="1" a="1"/>
  <c r="L578" i="1" s="1"/>
  <c r="I578" i="1"/>
  <c r="K578" i="1" s="1" a="1"/>
  <c r="K578" i="1" s="1"/>
  <c r="H578" i="1"/>
  <c r="G578" i="1"/>
  <c r="J577" i="1" a="1"/>
  <c r="J577" i="1"/>
  <c r="L577" i="1" s="1" a="1"/>
  <c r="L577" i="1" s="1"/>
  <c r="I577" i="1"/>
  <c r="K577" i="1" s="1" a="1"/>
  <c r="K577" i="1" s="1"/>
  <c r="H577" i="1"/>
  <c r="G577" i="1"/>
  <c r="J576" i="1" a="1"/>
  <c r="J576" i="1"/>
  <c r="L576" i="1" s="1" a="1"/>
  <c r="L576" i="1" s="1"/>
  <c r="I576" i="1"/>
  <c r="K576" i="1" s="1" a="1"/>
  <c r="K576" i="1" s="1"/>
  <c r="H576" i="1"/>
  <c r="G576" i="1"/>
  <c r="J575" i="1" a="1"/>
  <c r="J575" i="1"/>
  <c r="L575" i="1" s="1" a="1"/>
  <c r="L575" i="1" s="1"/>
  <c r="I575" i="1"/>
  <c r="K575" i="1" s="1" a="1"/>
  <c r="K575" i="1" s="1"/>
  <c r="H575" i="1"/>
  <c r="G575" i="1"/>
  <c r="J574" i="1" a="1"/>
  <c r="J574" i="1"/>
  <c r="L574" i="1" s="1" a="1"/>
  <c r="L574" i="1" s="1"/>
  <c r="I574" i="1"/>
  <c r="K574" i="1" s="1" a="1"/>
  <c r="K574" i="1" s="1"/>
  <c r="H574" i="1"/>
  <c r="G574" i="1"/>
  <c r="J573" i="1" a="1"/>
  <c r="J573" i="1"/>
  <c r="L573" i="1" s="1" a="1"/>
  <c r="L573" i="1" s="1"/>
  <c r="I573" i="1"/>
  <c r="K573" i="1" s="1" a="1"/>
  <c r="K573" i="1" s="1"/>
  <c r="H573" i="1"/>
  <c r="G573" i="1"/>
  <c r="J572" i="1" a="1"/>
  <c r="J572" i="1"/>
  <c r="L572" i="1" s="1" a="1"/>
  <c r="L572" i="1" s="1"/>
  <c r="I572" i="1"/>
  <c r="K572" i="1" s="1" a="1"/>
  <c r="K572" i="1" s="1"/>
  <c r="H572" i="1"/>
  <c r="G572" i="1"/>
  <c r="J571" i="1" a="1"/>
  <c r="J571" i="1"/>
  <c r="L571" i="1" s="1" a="1"/>
  <c r="L571" i="1" s="1"/>
  <c r="I571" i="1"/>
  <c r="K571" i="1" s="1" a="1"/>
  <c r="K571" i="1" s="1"/>
  <c r="H571" i="1"/>
  <c r="G571" i="1"/>
  <c r="J570" i="1" a="1"/>
  <c r="J570" i="1"/>
  <c r="L570" i="1" s="1" a="1"/>
  <c r="L570" i="1" s="1"/>
  <c r="I570" i="1"/>
  <c r="K570" i="1" s="1" a="1"/>
  <c r="K570" i="1" s="1"/>
  <c r="H570" i="1"/>
  <c r="G570" i="1"/>
  <c r="J569" i="1" a="1"/>
  <c r="J569" i="1"/>
  <c r="L569" i="1" s="1" a="1"/>
  <c r="L569" i="1" s="1"/>
  <c r="I569" i="1"/>
  <c r="K569" i="1" s="1" a="1"/>
  <c r="K569" i="1" s="1"/>
  <c r="H569" i="1"/>
  <c r="G569" i="1"/>
  <c r="J568" i="1" a="1"/>
  <c r="J568" i="1"/>
  <c r="L568" i="1" s="1" a="1"/>
  <c r="L568" i="1" s="1"/>
  <c r="I568" i="1"/>
  <c r="K568" i="1" s="1" a="1"/>
  <c r="K568" i="1" s="1"/>
  <c r="H568" i="1"/>
  <c r="G568" i="1"/>
  <c r="J567" i="1" a="1"/>
  <c r="J567" i="1"/>
  <c r="L567" i="1" s="1" a="1"/>
  <c r="L567" i="1" s="1"/>
  <c r="I567" i="1"/>
  <c r="K567" i="1" s="1" a="1"/>
  <c r="K567" i="1" s="1"/>
  <c r="H567" i="1"/>
  <c r="G567" i="1"/>
  <c r="J566" i="1" a="1"/>
  <c r="J566" i="1"/>
  <c r="L566" i="1" s="1" a="1"/>
  <c r="L566" i="1" s="1"/>
  <c r="I566" i="1"/>
  <c r="K566" i="1" s="1" a="1"/>
  <c r="K566" i="1" s="1"/>
  <c r="H566" i="1"/>
  <c r="G566" i="1"/>
  <c r="J565" i="1" a="1"/>
  <c r="J565" i="1"/>
  <c r="L565" i="1" s="1" a="1"/>
  <c r="L565" i="1" s="1"/>
  <c r="I565" i="1"/>
  <c r="K565" i="1" s="1" a="1"/>
  <c r="K565" i="1" s="1"/>
  <c r="H565" i="1"/>
  <c r="G565" i="1"/>
  <c r="J564" i="1" a="1"/>
  <c r="J564" i="1"/>
  <c r="L564" i="1" s="1" a="1"/>
  <c r="L564" i="1" s="1"/>
  <c r="I564" i="1"/>
  <c r="K564" i="1" s="1" a="1"/>
  <c r="K564" i="1" s="1"/>
  <c r="H564" i="1"/>
  <c r="G564" i="1"/>
  <c r="J563" i="1" a="1"/>
  <c r="J563" i="1"/>
  <c r="L563" i="1" s="1" a="1"/>
  <c r="L563" i="1" s="1"/>
  <c r="I563" i="1"/>
  <c r="K563" i="1" s="1" a="1"/>
  <c r="K563" i="1" s="1"/>
  <c r="H563" i="1"/>
  <c r="G563" i="1"/>
  <c r="J562" i="1" a="1"/>
  <c r="J562" i="1"/>
  <c r="L562" i="1" s="1" a="1"/>
  <c r="L562" i="1" s="1"/>
  <c r="I562" i="1"/>
  <c r="K562" i="1" s="1" a="1"/>
  <c r="K562" i="1" s="1"/>
  <c r="H562" i="1"/>
  <c r="G562" i="1"/>
  <c r="J561" i="1" a="1"/>
  <c r="J561" i="1"/>
  <c r="L561" i="1" s="1" a="1"/>
  <c r="L561" i="1" s="1"/>
  <c r="I561" i="1"/>
  <c r="K561" i="1" s="1" a="1"/>
  <c r="K561" i="1" s="1"/>
  <c r="H561" i="1"/>
  <c r="G561" i="1"/>
  <c r="J560" i="1" a="1"/>
  <c r="J560" i="1"/>
  <c r="L560" i="1" s="1" a="1"/>
  <c r="L560" i="1" s="1"/>
  <c r="I560" i="1"/>
  <c r="K560" i="1" s="1" a="1"/>
  <c r="K560" i="1" s="1"/>
  <c r="H560" i="1"/>
  <c r="G560" i="1"/>
  <c r="J559" i="1" a="1"/>
  <c r="J559" i="1"/>
  <c r="L559" i="1" s="1" a="1"/>
  <c r="L559" i="1" s="1"/>
  <c r="I559" i="1"/>
  <c r="K559" i="1" s="1" a="1"/>
  <c r="K559" i="1" s="1"/>
  <c r="H559" i="1"/>
  <c r="G559" i="1"/>
  <c r="J558" i="1" a="1"/>
  <c r="J558" i="1"/>
  <c r="L558" i="1" s="1" a="1"/>
  <c r="L558" i="1" s="1"/>
  <c r="I558" i="1"/>
  <c r="K558" i="1" s="1" a="1"/>
  <c r="K558" i="1" s="1"/>
  <c r="H558" i="1"/>
  <c r="G558" i="1"/>
  <c r="J557" i="1" a="1"/>
  <c r="J557" i="1"/>
  <c r="L557" i="1" s="1" a="1"/>
  <c r="L557" i="1" s="1"/>
  <c r="I557" i="1"/>
  <c r="K557" i="1" s="1" a="1"/>
  <c r="K557" i="1" s="1"/>
  <c r="H557" i="1"/>
  <c r="G557" i="1"/>
  <c r="J556" i="1" a="1"/>
  <c r="J556" i="1"/>
  <c r="L556" i="1" s="1" a="1"/>
  <c r="L556" i="1" s="1"/>
  <c r="I556" i="1"/>
  <c r="K556" i="1" s="1" a="1"/>
  <c r="K556" i="1" s="1"/>
  <c r="H556" i="1"/>
  <c r="G556" i="1"/>
  <c r="J555" i="1" a="1"/>
  <c r="J555" i="1"/>
  <c r="L555" i="1" s="1" a="1"/>
  <c r="L555" i="1" s="1"/>
  <c r="I555" i="1"/>
  <c r="K555" i="1" s="1" a="1"/>
  <c r="K555" i="1" s="1"/>
  <c r="H555" i="1"/>
  <c r="G555" i="1"/>
  <c r="J554" i="1" a="1"/>
  <c r="J554" i="1"/>
  <c r="L554" i="1" s="1" a="1"/>
  <c r="L554" i="1" s="1"/>
  <c r="I554" i="1"/>
  <c r="K554" i="1" s="1" a="1"/>
  <c r="K554" i="1" s="1"/>
  <c r="H554" i="1"/>
  <c r="G554" i="1"/>
  <c r="J553" i="1" a="1"/>
  <c r="J553" i="1"/>
  <c r="L553" i="1" s="1" a="1"/>
  <c r="L553" i="1" s="1"/>
  <c r="I553" i="1"/>
  <c r="K553" i="1" s="1" a="1"/>
  <c r="K553" i="1" s="1"/>
  <c r="H553" i="1"/>
  <c r="G553" i="1"/>
  <c r="J552" i="1" a="1"/>
  <c r="J552" i="1"/>
  <c r="L552" i="1" s="1" a="1"/>
  <c r="L552" i="1" s="1"/>
  <c r="I552" i="1"/>
  <c r="K552" i="1" s="1" a="1"/>
  <c r="K552" i="1" s="1"/>
  <c r="H552" i="1"/>
  <c r="G552" i="1"/>
  <c r="J551" i="1" a="1"/>
  <c r="J551" i="1"/>
  <c r="L551" i="1" s="1" a="1"/>
  <c r="L551" i="1" s="1"/>
  <c r="I551" i="1"/>
  <c r="K551" i="1" s="1" a="1"/>
  <c r="K551" i="1" s="1"/>
  <c r="H551" i="1"/>
  <c r="G551" i="1"/>
  <c r="J550" i="1" a="1"/>
  <c r="J550" i="1"/>
  <c r="L550" i="1" s="1" a="1"/>
  <c r="L550" i="1" s="1"/>
  <c r="I550" i="1"/>
  <c r="K550" i="1" s="1" a="1"/>
  <c r="K550" i="1" s="1"/>
  <c r="H550" i="1"/>
  <c r="G550" i="1"/>
  <c r="J549" i="1" a="1"/>
  <c r="J549" i="1"/>
  <c r="L549" i="1" s="1" a="1"/>
  <c r="L549" i="1" s="1"/>
  <c r="I549" i="1"/>
  <c r="K549" i="1" s="1" a="1"/>
  <c r="K549" i="1" s="1"/>
  <c r="H549" i="1"/>
  <c r="G549" i="1"/>
  <c r="J548" i="1" a="1"/>
  <c r="J548" i="1"/>
  <c r="L548" i="1" s="1" a="1"/>
  <c r="L548" i="1" s="1"/>
  <c r="I548" i="1"/>
  <c r="K548" i="1" s="1" a="1"/>
  <c r="K548" i="1" s="1"/>
  <c r="H548" i="1"/>
  <c r="G548" i="1"/>
  <c r="J547" i="1" a="1"/>
  <c r="J547" i="1"/>
  <c r="L547" i="1" s="1" a="1"/>
  <c r="L547" i="1" s="1"/>
  <c r="I547" i="1"/>
  <c r="K547" i="1" s="1" a="1"/>
  <c r="K547" i="1" s="1"/>
  <c r="H547" i="1"/>
  <c r="G547" i="1"/>
  <c r="J546" i="1" a="1"/>
  <c r="J546" i="1"/>
  <c r="L546" i="1" s="1" a="1"/>
  <c r="L546" i="1" s="1"/>
  <c r="I546" i="1"/>
  <c r="K546" i="1" s="1" a="1"/>
  <c r="K546" i="1" s="1"/>
  <c r="H546" i="1"/>
  <c r="G546" i="1"/>
  <c r="J545" i="1" a="1"/>
  <c r="J545" i="1"/>
  <c r="L545" i="1" s="1" a="1"/>
  <c r="L545" i="1" s="1"/>
  <c r="I545" i="1"/>
  <c r="K545" i="1" s="1" a="1"/>
  <c r="K545" i="1" s="1"/>
  <c r="H545" i="1"/>
  <c r="G545" i="1"/>
  <c r="J544" i="1" a="1"/>
  <c r="J544" i="1"/>
  <c r="L544" i="1" s="1" a="1"/>
  <c r="L544" i="1" s="1"/>
  <c r="I544" i="1"/>
  <c r="K544" i="1" s="1" a="1"/>
  <c r="K544" i="1" s="1"/>
  <c r="H544" i="1"/>
  <c r="G544" i="1"/>
  <c r="J543" i="1" a="1"/>
  <c r="J543" i="1"/>
  <c r="L543" i="1" s="1" a="1"/>
  <c r="L543" i="1" s="1"/>
  <c r="I543" i="1"/>
  <c r="K543" i="1" s="1" a="1"/>
  <c r="K543" i="1" s="1"/>
  <c r="H543" i="1"/>
  <c r="G543" i="1"/>
  <c r="J542" i="1" a="1"/>
  <c r="J542" i="1"/>
  <c r="L542" i="1" s="1" a="1"/>
  <c r="L542" i="1" s="1"/>
  <c r="I542" i="1"/>
  <c r="K542" i="1" s="1" a="1"/>
  <c r="K542" i="1" s="1"/>
  <c r="H542" i="1"/>
  <c r="G542" i="1"/>
  <c r="J541" i="1" a="1"/>
  <c r="J541" i="1"/>
  <c r="L541" i="1" s="1" a="1"/>
  <c r="L541" i="1" s="1"/>
  <c r="I541" i="1"/>
  <c r="K541" i="1" s="1" a="1"/>
  <c r="K541" i="1" s="1"/>
  <c r="H541" i="1"/>
  <c r="G541" i="1"/>
  <c r="J540" i="1" a="1"/>
  <c r="J540" i="1"/>
  <c r="L540" i="1" s="1" a="1"/>
  <c r="L540" i="1" s="1"/>
  <c r="I540" i="1"/>
  <c r="K540" i="1" s="1" a="1"/>
  <c r="K540" i="1" s="1"/>
  <c r="H540" i="1"/>
  <c r="G540" i="1"/>
  <c r="J539" i="1" a="1"/>
  <c r="J539" i="1"/>
  <c r="L539" i="1" s="1" a="1"/>
  <c r="L539" i="1" s="1"/>
  <c r="I539" i="1"/>
  <c r="K539" i="1" s="1" a="1"/>
  <c r="K539" i="1" s="1"/>
  <c r="H539" i="1"/>
  <c r="G539" i="1"/>
  <c r="J538" i="1" a="1"/>
  <c r="J538" i="1"/>
  <c r="L538" i="1" s="1" a="1"/>
  <c r="L538" i="1" s="1"/>
  <c r="I538" i="1"/>
  <c r="K538" i="1" s="1" a="1"/>
  <c r="K538" i="1" s="1"/>
  <c r="H538" i="1"/>
  <c r="G538" i="1"/>
  <c r="J537" i="1" a="1"/>
  <c r="J537" i="1"/>
  <c r="L537" i="1" s="1" a="1"/>
  <c r="L537" i="1" s="1"/>
  <c r="I537" i="1"/>
  <c r="K537" i="1" s="1" a="1"/>
  <c r="K537" i="1" s="1"/>
  <c r="H537" i="1"/>
  <c r="G537" i="1"/>
  <c r="J536" i="1" a="1"/>
  <c r="J536" i="1"/>
  <c r="L536" i="1" s="1" a="1"/>
  <c r="L536" i="1" s="1"/>
  <c r="I536" i="1"/>
  <c r="K536" i="1" s="1" a="1"/>
  <c r="K536" i="1" s="1"/>
  <c r="H536" i="1"/>
  <c r="G536" i="1"/>
  <c r="J535" i="1" a="1"/>
  <c r="J535" i="1"/>
  <c r="L535" i="1" s="1" a="1"/>
  <c r="L535" i="1" s="1"/>
  <c r="I535" i="1"/>
  <c r="K535" i="1" s="1" a="1"/>
  <c r="K535" i="1" s="1"/>
  <c r="H535" i="1"/>
  <c r="G535" i="1"/>
  <c r="J534" i="1" a="1"/>
  <c r="J534" i="1"/>
  <c r="L534" i="1" s="1" a="1"/>
  <c r="L534" i="1" s="1"/>
  <c r="I534" i="1"/>
  <c r="K534" i="1" s="1" a="1"/>
  <c r="K534" i="1" s="1"/>
  <c r="H534" i="1"/>
  <c r="G534" i="1"/>
  <c r="J533" i="1" a="1"/>
  <c r="J533" i="1"/>
  <c r="L533" i="1" s="1" a="1"/>
  <c r="L533" i="1" s="1"/>
  <c r="I533" i="1"/>
  <c r="K533" i="1" s="1" a="1"/>
  <c r="K533" i="1" s="1"/>
  <c r="H533" i="1"/>
  <c r="G533" i="1"/>
  <c r="J532" i="1" a="1"/>
  <c r="J532" i="1"/>
  <c r="L532" i="1" s="1" a="1"/>
  <c r="L532" i="1" s="1"/>
  <c r="I532" i="1"/>
  <c r="K532" i="1" s="1" a="1"/>
  <c r="K532" i="1" s="1"/>
  <c r="H532" i="1"/>
  <c r="G532" i="1"/>
  <c r="J531" i="1" a="1"/>
  <c r="J531" i="1"/>
  <c r="L531" i="1" s="1" a="1"/>
  <c r="L531" i="1" s="1"/>
  <c r="I531" i="1"/>
  <c r="K531" i="1" s="1" a="1"/>
  <c r="K531" i="1" s="1"/>
  <c r="H531" i="1"/>
  <c r="G531" i="1"/>
  <c r="J530" i="1" a="1"/>
  <c r="J530" i="1"/>
  <c r="L530" i="1" s="1" a="1"/>
  <c r="L530" i="1" s="1"/>
  <c r="I530" i="1"/>
  <c r="K530" i="1" s="1" a="1"/>
  <c r="K530" i="1" s="1"/>
  <c r="H530" i="1"/>
  <c r="G530" i="1"/>
  <c r="J529" i="1" a="1"/>
  <c r="J529" i="1"/>
  <c r="L529" i="1" s="1" a="1"/>
  <c r="L529" i="1" s="1"/>
  <c r="I529" i="1"/>
  <c r="K529" i="1" s="1" a="1"/>
  <c r="K529" i="1" s="1"/>
  <c r="H529" i="1"/>
  <c r="G529" i="1"/>
  <c r="J528" i="1" a="1"/>
  <c r="J528" i="1"/>
  <c r="L528" i="1" s="1" a="1"/>
  <c r="L528" i="1" s="1"/>
  <c r="I528" i="1"/>
  <c r="K528" i="1" s="1" a="1"/>
  <c r="K528" i="1" s="1"/>
  <c r="H528" i="1"/>
  <c r="G528" i="1"/>
  <c r="I527" i="1"/>
  <c r="H527" i="1"/>
  <c r="G527" i="1"/>
  <c r="I526" i="1"/>
  <c r="H526" i="1"/>
  <c r="G526" i="1"/>
  <c r="J525" i="1" a="1"/>
  <c r="J525" i="1" s="1"/>
  <c r="L525" i="1" s="1" a="1"/>
  <c r="L525" i="1" s="1"/>
  <c r="I525" i="1"/>
  <c r="K525" i="1" s="1" a="1"/>
  <c r="K525" i="1" s="1"/>
  <c r="H525" i="1"/>
  <c r="G525" i="1"/>
  <c r="J524" i="1" a="1"/>
  <c r="J524" i="1"/>
  <c r="L524" i="1" s="1" a="1"/>
  <c r="L524" i="1" s="1"/>
  <c r="I524" i="1"/>
  <c r="K524" i="1" s="1" a="1"/>
  <c r="K524" i="1" s="1"/>
  <c r="H524" i="1"/>
  <c r="G524" i="1"/>
  <c r="J523" i="1" a="1"/>
  <c r="J523" i="1"/>
  <c r="L523" i="1" s="1" a="1"/>
  <c r="L523" i="1" s="1"/>
  <c r="I523" i="1"/>
  <c r="K523" i="1" s="1" a="1"/>
  <c r="K523" i="1" s="1"/>
  <c r="H523" i="1"/>
  <c r="G523" i="1"/>
  <c r="J522" i="1" a="1"/>
  <c r="J522" i="1"/>
  <c r="L522" i="1" s="1" a="1"/>
  <c r="L522" i="1" s="1"/>
  <c r="I522" i="1"/>
  <c r="K522" i="1" s="1" a="1"/>
  <c r="K522" i="1" s="1"/>
  <c r="H522" i="1"/>
  <c r="G522" i="1"/>
  <c r="J521" i="1" a="1"/>
  <c r="J521" i="1"/>
  <c r="L521" i="1" s="1" a="1"/>
  <c r="L521" i="1" s="1"/>
  <c r="I521" i="1"/>
  <c r="K521" i="1" s="1" a="1"/>
  <c r="K521" i="1" s="1"/>
  <c r="H521" i="1"/>
  <c r="G521" i="1"/>
  <c r="J520" i="1" a="1"/>
  <c r="J520" i="1"/>
  <c r="L520" i="1" s="1" a="1"/>
  <c r="L520" i="1" s="1"/>
  <c r="I520" i="1"/>
  <c r="K520" i="1" s="1" a="1"/>
  <c r="K520" i="1" s="1"/>
  <c r="H520" i="1"/>
  <c r="G520" i="1"/>
  <c r="J519" i="1" a="1"/>
  <c r="J519" i="1"/>
  <c r="L519" i="1" s="1" a="1"/>
  <c r="L519" i="1" s="1"/>
  <c r="I519" i="1"/>
  <c r="K519" i="1" s="1" a="1"/>
  <c r="K519" i="1" s="1"/>
  <c r="H519" i="1"/>
  <c r="G519" i="1"/>
  <c r="J518" i="1" a="1"/>
  <c r="J518" i="1"/>
  <c r="L518" i="1" s="1" a="1"/>
  <c r="L518" i="1" s="1"/>
  <c r="I518" i="1"/>
  <c r="K518" i="1" s="1" a="1"/>
  <c r="K518" i="1" s="1"/>
  <c r="H518" i="1"/>
  <c r="G518" i="1"/>
  <c r="J517" i="1" a="1"/>
  <c r="J517" i="1"/>
  <c r="L517" i="1" s="1" a="1"/>
  <c r="L517" i="1" s="1"/>
  <c r="I517" i="1"/>
  <c r="K517" i="1" s="1" a="1"/>
  <c r="K517" i="1" s="1"/>
  <c r="H517" i="1"/>
  <c r="G517" i="1"/>
  <c r="J516" i="1" a="1"/>
  <c r="J516" i="1"/>
  <c r="L516" i="1" s="1" a="1"/>
  <c r="L516" i="1" s="1"/>
  <c r="I516" i="1"/>
  <c r="K516" i="1" s="1" a="1"/>
  <c r="K516" i="1" s="1"/>
  <c r="H516" i="1"/>
  <c r="G516" i="1"/>
  <c r="J515" i="1" a="1"/>
  <c r="J515" i="1"/>
  <c r="L515" i="1" s="1" a="1"/>
  <c r="L515" i="1" s="1"/>
  <c r="I515" i="1"/>
  <c r="K515" i="1" s="1" a="1"/>
  <c r="K515" i="1" s="1"/>
  <c r="H515" i="1"/>
  <c r="G515" i="1"/>
  <c r="J514" i="1" a="1"/>
  <c r="J514" i="1"/>
  <c r="L514" i="1" s="1" a="1"/>
  <c r="L514" i="1" s="1"/>
  <c r="I514" i="1"/>
  <c r="K514" i="1" s="1" a="1"/>
  <c r="K514" i="1" s="1"/>
  <c r="H514" i="1"/>
  <c r="G514" i="1"/>
  <c r="J513" i="1" a="1"/>
  <c r="J513" i="1"/>
  <c r="L513" i="1" s="1" a="1"/>
  <c r="L513" i="1" s="1"/>
  <c r="I513" i="1"/>
  <c r="K513" i="1" s="1" a="1"/>
  <c r="K513" i="1" s="1"/>
  <c r="H513" i="1"/>
  <c r="G513" i="1"/>
  <c r="J512" i="1" a="1"/>
  <c r="J512" i="1"/>
  <c r="L512" i="1" s="1" a="1"/>
  <c r="L512" i="1" s="1"/>
  <c r="I512" i="1"/>
  <c r="K512" i="1" s="1" a="1"/>
  <c r="K512" i="1" s="1"/>
  <c r="H512" i="1"/>
  <c r="G512" i="1"/>
  <c r="J511" i="1" a="1"/>
  <c r="J511" i="1"/>
  <c r="L511" i="1" s="1" a="1"/>
  <c r="L511" i="1" s="1"/>
  <c r="I511" i="1"/>
  <c r="K511" i="1" s="1" a="1"/>
  <c r="K511" i="1" s="1"/>
  <c r="H511" i="1"/>
  <c r="G511" i="1"/>
  <c r="J510" i="1" a="1"/>
  <c r="J510" i="1"/>
  <c r="L510" i="1" s="1" a="1"/>
  <c r="L510" i="1" s="1"/>
  <c r="I510" i="1"/>
  <c r="K510" i="1" s="1" a="1"/>
  <c r="K510" i="1" s="1"/>
  <c r="H510" i="1"/>
  <c r="G510" i="1"/>
  <c r="J509" i="1" a="1"/>
  <c r="J509" i="1"/>
  <c r="L509" i="1" s="1" a="1"/>
  <c r="L509" i="1" s="1"/>
  <c r="I509" i="1"/>
  <c r="K509" i="1" s="1" a="1"/>
  <c r="K509" i="1" s="1"/>
  <c r="H509" i="1"/>
  <c r="G509" i="1"/>
  <c r="J508" i="1" a="1"/>
  <c r="J508" i="1"/>
  <c r="L508" i="1" s="1" a="1"/>
  <c r="L508" i="1" s="1"/>
  <c r="I508" i="1"/>
  <c r="K508" i="1" s="1" a="1"/>
  <c r="K508" i="1" s="1"/>
  <c r="H508" i="1"/>
  <c r="G508" i="1"/>
  <c r="J507" i="1" a="1"/>
  <c r="J507" i="1"/>
  <c r="L507" i="1" s="1" a="1"/>
  <c r="L507" i="1" s="1"/>
  <c r="I507" i="1"/>
  <c r="K507" i="1" s="1" a="1"/>
  <c r="K507" i="1" s="1"/>
  <c r="H507" i="1"/>
  <c r="G507" i="1"/>
  <c r="J506" i="1" a="1"/>
  <c r="J506" i="1"/>
  <c r="L506" i="1" s="1" a="1"/>
  <c r="L506" i="1" s="1"/>
  <c r="I506" i="1"/>
  <c r="K506" i="1" s="1" a="1"/>
  <c r="K506" i="1" s="1"/>
  <c r="H506" i="1"/>
  <c r="G506" i="1"/>
  <c r="J505" i="1" a="1"/>
  <c r="J505" i="1"/>
  <c r="L505" i="1" s="1" a="1"/>
  <c r="L505" i="1" s="1"/>
  <c r="I505" i="1"/>
  <c r="K505" i="1" s="1" a="1"/>
  <c r="K505" i="1" s="1"/>
  <c r="H505" i="1"/>
  <c r="G505" i="1"/>
  <c r="J504" i="1" a="1"/>
  <c r="J504" i="1"/>
  <c r="L504" i="1" s="1" a="1"/>
  <c r="L504" i="1" s="1"/>
  <c r="I504" i="1"/>
  <c r="K504" i="1" s="1" a="1"/>
  <c r="K504" i="1" s="1"/>
  <c r="H504" i="1"/>
  <c r="G504" i="1"/>
  <c r="J503" i="1" a="1"/>
  <c r="J503" i="1"/>
  <c r="L503" i="1" s="1" a="1"/>
  <c r="L503" i="1" s="1"/>
  <c r="I503" i="1"/>
  <c r="K503" i="1" s="1" a="1"/>
  <c r="K503" i="1" s="1"/>
  <c r="H503" i="1"/>
  <c r="G503" i="1"/>
  <c r="J502" i="1" a="1"/>
  <c r="J502" i="1"/>
  <c r="L502" i="1" s="1" a="1"/>
  <c r="L502" i="1" s="1"/>
  <c r="I502" i="1"/>
  <c r="K502" i="1" s="1" a="1"/>
  <c r="K502" i="1" s="1"/>
  <c r="H502" i="1"/>
  <c r="G502" i="1"/>
  <c r="J501" i="1" a="1"/>
  <c r="J501" i="1"/>
  <c r="L501" i="1" s="1" a="1"/>
  <c r="L501" i="1" s="1"/>
  <c r="I501" i="1"/>
  <c r="K501" i="1" s="1" a="1"/>
  <c r="K501" i="1" s="1"/>
  <c r="H501" i="1"/>
  <c r="G501" i="1"/>
  <c r="J500" i="1" a="1"/>
  <c r="J500" i="1"/>
  <c r="L500" i="1" s="1" a="1"/>
  <c r="L500" i="1" s="1"/>
  <c r="I500" i="1"/>
  <c r="K500" i="1" s="1" a="1"/>
  <c r="K500" i="1" s="1"/>
  <c r="H500" i="1"/>
  <c r="G500" i="1"/>
  <c r="J499" i="1" a="1"/>
  <c r="J499" i="1"/>
  <c r="L499" i="1" s="1" a="1"/>
  <c r="L499" i="1" s="1"/>
  <c r="I499" i="1"/>
  <c r="K499" i="1" s="1" a="1"/>
  <c r="K499" i="1" s="1"/>
  <c r="H499" i="1"/>
  <c r="G499" i="1"/>
  <c r="J498" i="1" a="1"/>
  <c r="J498" i="1" s="1"/>
  <c r="L498" i="1" s="1" a="1"/>
  <c r="L498" i="1" s="1"/>
  <c r="I498" i="1"/>
  <c r="K498" i="1" s="1" a="1"/>
  <c r="K498" i="1" s="1"/>
  <c r="H498" i="1"/>
  <c r="G498" i="1"/>
  <c r="J497" i="1" a="1"/>
  <c r="J497" i="1" s="1"/>
  <c r="L497" i="1" s="1" a="1"/>
  <c r="L497" i="1" s="1"/>
  <c r="I497" i="1"/>
  <c r="K497" i="1" s="1" a="1"/>
  <c r="K497" i="1" s="1"/>
  <c r="H497" i="1"/>
  <c r="G497" i="1"/>
  <c r="J496" i="1" a="1"/>
  <c r="J496" i="1" s="1"/>
  <c r="L496" i="1" s="1" a="1"/>
  <c r="L496" i="1" s="1"/>
  <c r="I496" i="1"/>
  <c r="K496" i="1" s="1" a="1"/>
  <c r="K496" i="1" s="1"/>
  <c r="H496" i="1"/>
  <c r="G496" i="1"/>
  <c r="J495" i="1" a="1"/>
  <c r="J495" i="1"/>
  <c r="L495" i="1" s="1" a="1"/>
  <c r="L495" i="1" s="1"/>
  <c r="I495" i="1"/>
  <c r="K495" i="1" s="1" a="1"/>
  <c r="K495" i="1" s="1"/>
  <c r="H495" i="1"/>
  <c r="G495" i="1"/>
  <c r="J494" i="1" a="1"/>
  <c r="J494" i="1" s="1"/>
  <c r="L494" i="1" s="1" a="1"/>
  <c r="L494" i="1" s="1"/>
  <c r="I494" i="1"/>
  <c r="K494" i="1" s="1" a="1"/>
  <c r="K494" i="1" s="1"/>
  <c r="H494" i="1"/>
  <c r="G494" i="1"/>
  <c r="J493" i="1" a="1"/>
  <c r="J493" i="1" s="1"/>
  <c r="L493" i="1" s="1" a="1"/>
  <c r="L493" i="1" s="1"/>
  <c r="I493" i="1"/>
  <c r="K493" i="1" s="1" a="1"/>
  <c r="K493" i="1" s="1"/>
  <c r="H493" i="1"/>
  <c r="G493" i="1"/>
  <c r="J492" i="1" a="1"/>
  <c r="J492" i="1" s="1"/>
  <c r="L492" i="1" s="1" a="1"/>
  <c r="L492" i="1" s="1"/>
  <c r="I492" i="1"/>
  <c r="K492" i="1" s="1" a="1"/>
  <c r="K492" i="1" s="1"/>
  <c r="H492" i="1"/>
  <c r="G492" i="1"/>
  <c r="J491" i="1" a="1"/>
  <c r="J491" i="1" s="1"/>
  <c r="L491" i="1" s="1" a="1"/>
  <c r="L491" i="1" s="1"/>
  <c r="I491" i="1"/>
  <c r="K491" i="1" s="1" a="1"/>
  <c r="K491" i="1" s="1"/>
  <c r="H491" i="1"/>
  <c r="G491" i="1"/>
  <c r="J490" i="1" a="1"/>
  <c r="J490" i="1" s="1"/>
  <c r="L490" i="1" s="1" a="1"/>
  <c r="L490" i="1" s="1"/>
  <c r="I490" i="1"/>
  <c r="K490" i="1" s="1" a="1"/>
  <c r="K490" i="1" s="1"/>
  <c r="H490" i="1"/>
  <c r="G490" i="1"/>
  <c r="J489" i="1" a="1"/>
  <c r="J489" i="1" s="1"/>
  <c r="L489" i="1" s="1" a="1"/>
  <c r="L489" i="1" s="1"/>
  <c r="I489" i="1"/>
  <c r="K489" i="1" s="1" a="1"/>
  <c r="K489" i="1" s="1"/>
  <c r="H489" i="1"/>
  <c r="G489" i="1"/>
  <c r="J488" i="1" a="1"/>
  <c r="J488" i="1" s="1"/>
  <c r="L488" i="1" s="1" a="1"/>
  <c r="L488" i="1" s="1"/>
  <c r="I488" i="1"/>
  <c r="K488" i="1" s="1" a="1"/>
  <c r="K488" i="1" s="1"/>
  <c r="H488" i="1"/>
  <c r="G488" i="1"/>
  <c r="J487" i="1" a="1"/>
  <c r="J487" i="1" s="1"/>
  <c r="L487" i="1" s="1" a="1"/>
  <c r="L487" i="1" s="1"/>
  <c r="I487" i="1"/>
  <c r="K487" i="1" s="1" a="1"/>
  <c r="K487" i="1" s="1"/>
  <c r="H487" i="1"/>
  <c r="G487" i="1"/>
  <c r="J486" i="1" a="1"/>
  <c r="J486" i="1" s="1"/>
  <c r="L486" i="1" s="1" a="1"/>
  <c r="L486" i="1" s="1"/>
  <c r="I486" i="1"/>
  <c r="K486" i="1" s="1" a="1"/>
  <c r="K486" i="1" s="1"/>
  <c r="H486" i="1"/>
  <c r="G486" i="1"/>
  <c r="J485" i="1" a="1"/>
  <c r="J485" i="1" s="1"/>
  <c r="L485" i="1" s="1" a="1"/>
  <c r="L485" i="1" s="1"/>
  <c r="I485" i="1"/>
  <c r="K485" i="1" s="1" a="1"/>
  <c r="K485" i="1" s="1"/>
  <c r="H485" i="1"/>
  <c r="G485" i="1"/>
  <c r="J484" i="1" a="1"/>
  <c r="J484" i="1" s="1"/>
  <c r="L484" i="1" s="1" a="1"/>
  <c r="L484" i="1" s="1"/>
  <c r="I484" i="1"/>
  <c r="K484" i="1" s="1" a="1"/>
  <c r="K484" i="1" s="1"/>
  <c r="H484" i="1"/>
  <c r="G484" i="1"/>
  <c r="J483" i="1" a="1"/>
  <c r="J483" i="1" s="1"/>
  <c r="L483" i="1" s="1" a="1"/>
  <c r="L483" i="1" s="1"/>
  <c r="I483" i="1"/>
  <c r="K483" i="1" s="1" a="1"/>
  <c r="K483" i="1" s="1"/>
  <c r="H483" i="1"/>
  <c r="G483" i="1"/>
  <c r="J482" i="1" a="1"/>
  <c r="J482" i="1" s="1"/>
  <c r="L482" i="1" s="1" a="1"/>
  <c r="L482" i="1" s="1"/>
  <c r="I482" i="1"/>
  <c r="K482" i="1" s="1" a="1"/>
  <c r="K482" i="1" s="1"/>
  <c r="H482" i="1"/>
  <c r="G482" i="1"/>
  <c r="J481" i="1" a="1"/>
  <c r="J481" i="1"/>
  <c r="L481" i="1" s="1" a="1"/>
  <c r="L481" i="1" s="1"/>
  <c r="I481" i="1"/>
  <c r="K481" i="1" s="1" a="1"/>
  <c r="K481" i="1" s="1"/>
  <c r="H481" i="1"/>
  <c r="G481" i="1"/>
  <c r="J480" i="1" a="1"/>
  <c r="J480" i="1" s="1"/>
  <c r="L480" i="1" s="1" a="1"/>
  <c r="L480" i="1" s="1"/>
  <c r="I480" i="1"/>
  <c r="K480" i="1" s="1" a="1"/>
  <c r="K480" i="1" s="1"/>
  <c r="H480" i="1"/>
  <c r="G480" i="1"/>
  <c r="J479" i="1" a="1"/>
  <c r="J479" i="1" s="1"/>
  <c r="L479" i="1" s="1" a="1"/>
  <c r="L479" i="1" s="1"/>
  <c r="I479" i="1"/>
  <c r="K479" i="1" s="1" a="1"/>
  <c r="K479" i="1" s="1"/>
  <c r="H479" i="1"/>
  <c r="G479" i="1"/>
  <c r="J478" i="1" a="1"/>
  <c r="J478" i="1" s="1"/>
  <c r="L478" i="1" s="1" a="1"/>
  <c r="L478" i="1" s="1"/>
  <c r="I478" i="1"/>
  <c r="K478" i="1" s="1" a="1"/>
  <c r="K478" i="1" s="1"/>
  <c r="H478" i="1"/>
  <c r="G478" i="1"/>
  <c r="J477" i="1" a="1"/>
  <c r="J477" i="1" s="1"/>
  <c r="L477" i="1" s="1" a="1"/>
  <c r="L477" i="1" s="1"/>
  <c r="I477" i="1"/>
  <c r="K477" i="1" s="1" a="1"/>
  <c r="K477" i="1" s="1"/>
  <c r="H477" i="1"/>
  <c r="G477" i="1"/>
  <c r="J476" i="1" a="1"/>
  <c r="J476" i="1" s="1"/>
  <c r="L476" i="1" s="1" a="1"/>
  <c r="L476" i="1" s="1"/>
  <c r="I476" i="1"/>
  <c r="K476" i="1" s="1" a="1"/>
  <c r="K476" i="1" s="1"/>
  <c r="H476" i="1"/>
  <c r="G476" i="1"/>
  <c r="J475" i="1" a="1"/>
  <c r="J475" i="1" s="1"/>
  <c r="L475" i="1" s="1" a="1"/>
  <c r="L475" i="1" s="1"/>
  <c r="I475" i="1"/>
  <c r="K475" i="1" s="1" a="1"/>
  <c r="K475" i="1" s="1"/>
  <c r="H475" i="1"/>
  <c r="G475" i="1"/>
  <c r="J474" i="1" a="1"/>
  <c r="J474" i="1" s="1"/>
  <c r="L474" i="1" s="1" a="1"/>
  <c r="L474" i="1" s="1"/>
  <c r="I474" i="1"/>
  <c r="K474" i="1" s="1" a="1"/>
  <c r="K474" i="1" s="1"/>
  <c r="H474" i="1"/>
  <c r="G474" i="1"/>
  <c r="J473" i="1" a="1"/>
  <c r="J473" i="1" s="1"/>
  <c r="L473" i="1" s="1" a="1"/>
  <c r="L473" i="1" s="1"/>
  <c r="I473" i="1"/>
  <c r="K473" i="1" s="1" a="1"/>
  <c r="K473" i="1" s="1"/>
  <c r="H473" i="1"/>
  <c r="G473" i="1"/>
  <c r="J472" i="1" a="1"/>
  <c r="J472" i="1" s="1"/>
  <c r="L472" i="1" s="1" a="1"/>
  <c r="L472" i="1" s="1"/>
  <c r="I472" i="1"/>
  <c r="K472" i="1" s="1" a="1"/>
  <c r="K472" i="1" s="1"/>
  <c r="H472" i="1"/>
  <c r="G472" i="1"/>
  <c r="J471" i="1" a="1"/>
  <c r="J471" i="1" s="1"/>
  <c r="L471" i="1" s="1" a="1"/>
  <c r="L471" i="1" s="1"/>
  <c r="I471" i="1"/>
  <c r="K471" i="1" s="1" a="1"/>
  <c r="K471" i="1" s="1"/>
  <c r="H471" i="1"/>
  <c r="G471" i="1"/>
  <c r="J470" i="1" a="1"/>
  <c r="J470" i="1" s="1"/>
  <c r="L470" i="1" s="1" a="1"/>
  <c r="L470" i="1" s="1"/>
  <c r="I470" i="1"/>
  <c r="K470" i="1" s="1" a="1"/>
  <c r="K470" i="1" s="1"/>
  <c r="H470" i="1"/>
  <c r="G470" i="1"/>
  <c r="J469" i="1" a="1"/>
  <c r="J469" i="1" s="1"/>
  <c r="L469" i="1" s="1" a="1"/>
  <c r="L469" i="1" s="1"/>
  <c r="I469" i="1"/>
  <c r="K469" i="1" s="1" a="1"/>
  <c r="K469" i="1" s="1"/>
  <c r="H469" i="1"/>
  <c r="G469" i="1"/>
  <c r="J468" i="1" a="1"/>
  <c r="J468" i="1" s="1"/>
  <c r="L468" i="1" s="1" a="1"/>
  <c r="L468" i="1" s="1"/>
  <c r="I468" i="1"/>
  <c r="K468" i="1" s="1" a="1"/>
  <c r="K468" i="1" s="1"/>
  <c r="H468" i="1"/>
  <c r="G468" i="1"/>
  <c r="J467" i="1" a="1"/>
  <c r="J467" i="1" s="1"/>
  <c r="L467" i="1" s="1" a="1"/>
  <c r="L467" i="1" s="1"/>
  <c r="I467" i="1"/>
  <c r="K467" i="1" s="1" a="1"/>
  <c r="K467" i="1" s="1"/>
  <c r="H467" i="1"/>
  <c r="G467" i="1"/>
  <c r="J466" i="1" a="1"/>
  <c r="J466" i="1" s="1"/>
  <c r="L466" i="1" s="1" a="1"/>
  <c r="L466" i="1" s="1"/>
  <c r="I466" i="1"/>
  <c r="K466" i="1" s="1" a="1"/>
  <c r="K466" i="1" s="1"/>
  <c r="H466" i="1"/>
  <c r="G466" i="1"/>
  <c r="J465" i="1" a="1"/>
  <c r="J465" i="1" s="1"/>
  <c r="L465" i="1" s="1" a="1"/>
  <c r="L465" i="1" s="1"/>
  <c r="I465" i="1"/>
  <c r="K465" i="1" s="1" a="1"/>
  <c r="K465" i="1" s="1"/>
  <c r="H465" i="1"/>
  <c r="G465" i="1"/>
  <c r="I464" i="1"/>
  <c r="H464" i="1"/>
  <c r="G464" i="1"/>
  <c r="I463" i="1"/>
  <c r="H463" i="1"/>
  <c r="G463" i="1"/>
  <c r="J462" i="1" a="1"/>
  <c r="J462" i="1"/>
  <c r="L462" i="1" s="1" a="1"/>
  <c r="L462" i="1" s="1"/>
  <c r="I462" i="1"/>
  <c r="K462" i="1" s="1" a="1"/>
  <c r="K462" i="1" s="1"/>
  <c r="H462" i="1"/>
  <c r="G462" i="1"/>
  <c r="J461" i="1" a="1"/>
  <c r="J461" i="1"/>
  <c r="L461" i="1" s="1" a="1"/>
  <c r="L461" i="1" s="1"/>
  <c r="I461" i="1"/>
  <c r="K461" i="1" s="1" a="1"/>
  <c r="K461" i="1" s="1"/>
  <c r="H461" i="1"/>
  <c r="G461" i="1"/>
  <c r="J460" i="1" a="1"/>
  <c r="J460" i="1"/>
  <c r="L460" i="1" s="1" a="1"/>
  <c r="L460" i="1" s="1"/>
  <c r="I460" i="1"/>
  <c r="K460" i="1" s="1" a="1"/>
  <c r="K460" i="1" s="1"/>
  <c r="H460" i="1"/>
  <c r="G460" i="1"/>
  <c r="J459" i="1" a="1"/>
  <c r="J459" i="1"/>
  <c r="L459" i="1" s="1" a="1"/>
  <c r="L459" i="1" s="1"/>
  <c r="I459" i="1"/>
  <c r="K459" i="1" s="1" a="1"/>
  <c r="K459" i="1" s="1"/>
  <c r="H459" i="1"/>
  <c r="G459" i="1"/>
  <c r="J458" i="1" a="1"/>
  <c r="J458" i="1"/>
  <c r="L458" i="1" s="1" a="1"/>
  <c r="L458" i="1" s="1"/>
  <c r="I458" i="1"/>
  <c r="K458" i="1" s="1" a="1"/>
  <c r="K458" i="1" s="1"/>
  <c r="H458" i="1"/>
  <c r="G458" i="1"/>
  <c r="J457" i="1" a="1"/>
  <c r="J457" i="1"/>
  <c r="L457" i="1" s="1" a="1"/>
  <c r="L457" i="1" s="1"/>
  <c r="I457" i="1"/>
  <c r="K457" i="1" s="1" a="1"/>
  <c r="K457" i="1" s="1"/>
  <c r="H457" i="1"/>
  <c r="G457" i="1"/>
  <c r="J456" i="1" a="1"/>
  <c r="J456" i="1"/>
  <c r="L456" i="1" s="1" a="1"/>
  <c r="L456" i="1" s="1"/>
  <c r="I456" i="1"/>
  <c r="K456" i="1" s="1" a="1"/>
  <c r="K456" i="1" s="1"/>
  <c r="H456" i="1"/>
  <c r="G456" i="1"/>
  <c r="J455" i="1" a="1"/>
  <c r="J455" i="1"/>
  <c r="L455" i="1" s="1" a="1"/>
  <c r="L455" i="1" s="1"/>
  <c r="I455" i="1"/>
  <c r="K455" i="1" s="1" a="1"/>
  <c r="K455" i="1" s="1"/>
  <c r="H455" i="1"/>
  <c r="G455" i="1"/>
  <c r="J454" i="1" a="1"/>
  <c r="J454" i="1"/>
  <c r="L454" i="1" s="1" a="1"/>
  <c r="L454" i="1" s="1"/>
  <c r="I454" i="1"/>
  <c r="K454" i="1" s="1" a="1"/>
  <c r="K454" i="1" s="1"/>
  <c r="H454" i="1"/>
  <c r="G454" i="1"/>
  <c r="J453" i="1" a="1"/>
  <c r="J453" i="1"/>
  <c r="L453" i="1" s="1" a="1"/>
  <c r="L453" i="1" s="1"/>
  <c r="I453" i="1"/>
  <c r="K453" i="1" s="1" a="1"/>
  <c r="K453" i="1" s="1"/>
  <c r="H453" i="1"/>
  <c r="G453" i="1"/>
  <c r="J452" i="1" a="1"/>
  <c r="J452" i="1" s="1"/>
  <c r="L452" i="1" s="1" a="1"/>
  <c r="L452" i="1" s="1"/>
  <c r="I452" i="1"/>
  <c r="K452" i="1" s="1" a="1"/>
  <c r="K452" i="1" s="1"/>
  <c r="H452" i="1"/>
  <c r="G452" i="1"/>
  <c r="J451" i="1" a="1"/>
  <c r="J451" i="1" s="1"/>
  <c r="L451" i="1" s="1" a="1"/>
  <c r="L451" i="1" s="1"/>
  <c r="I451" i="1"/>
  <c r="K451" i="1" s="1" a="1"/>
  <c r="K451" i="1" s="1"/>
  <c r="H451" i="1"/>
  <c r="G451" i="1"/>
  <c r="J450" i="1" a="1"/>
  <c r="J450" i="1" s="1"/>
  <c r="L450" i="1" s="1" a="1"/>
  <c r="L450" i="1" s="1"/>
  <c r="I450" i="1"/>
  <c r="K450" i="1" s="1" a="1"/>
  <c r="K450" i="1" s="1"/>
  <c r="H450" i="1"/>
  <c r="G450" i="1"/>
  <c r="J449" i="1" a="1"/>
  <c r="J449" i="1" s="1"/>
  <c r="L449" i="1" s="1" a="1"/>
  <c r="L449" i="1" s="1"/>
  <c r="I449" i="1"/>
  <c r="K449" i="1" s="1" a="1"/>
  <c r="K449" i="1" s="1"/>
  <c r="H449" i="1"/>
  <c r="G449" i="1"/>
  <c r="J448" i="1" a="1"/>
  <c r="J448" i="1" s="1"/>
  <c r="L448" i="1" s="1" a="1"/>
  <c r="L448" i="1" s="1"/>
  <c r="I448" i="1"/>
  <c r="K448" i="1" s="1" a="1"/>
  <c r="K448" i="1" s="1"/>
  <c r="H448" i="1"/>
  <c r="G448" i="1"/>
  <c r="J447" i="1" a="1"/>
  <c r="J447" i="1" s="1"/>
  <c r="L447" i="1" s="1" a="1"/>
  <c r="L447" i="1" s="1"/>
  <c r="I447" i="1"/>
  <c r="K447" i="1" s="1" a="1"/>
  <c r="K447" i="1" s="1"/>
  <c r="H447" i="1"/>
  <c r="G447" i="1"/>
  <c r="J446" i="1" a="1"/>
  <c r="J446" i="1" s="1"/>
  <c r="L446" i="1" s="1" a="1"/>
  <c r="L446" i="1" s="1"/>
  <c r="I446" i="1"/>
  <c r="K446" i="1" s="1" a="1"/>
  <c r="K446" i="1" s="1"/>
  <c r="H446" i="1"/>
  <c r="G446" i="1"/>
  <c r="J445" i="1" a="1"/>
  <c r="J445" i="1" s="1"/>
  <c r="L445" i="1" s="1" a="1"/>
  <c r="L445" i="1" s="1"/>
  <c r="I445" i="1"/>
  <c r="K445" i="1" s="1" a="1"/>
  <c r="K445" i="1" s="1"/>
  <c r="H445" i="1"/>
  <c r="G445" i="1"/>
  <c r="J444" i="1" a="1"/>
  <c r="J444" i="1" s="1"/>
  <c r="L444" i="1" s="1" a="1"/>
  <c r="L444" i="1" s="1"/>
  <c r="I444" i="1"/>
  <c r="K444" i="1" s="1" a="1"/>
  <c r="K444" i="1" s="1"/>
  <c r="H444" i="1"/>
  <c r="G444" i="1"/>
  <c r="J443" i="1" a="1"/>
  <c r="J443" i="1" s="1"/>
  <c r="L443" i="1" s="1" a="1"/>
  <c r="L443" i="1" s="1"/>
  <c r="I443" i="1"/>
  <c r="K443" i="1" s="1" a="1"/>
  <c r="K443" i="1" s="1"/>
  <c r="H443" i="1"/>
  <c r="G443" i="1"/>
  <c r="J442" i="1" a="1"/>
  <c r="J442" i="1" s="1"/>
  <c r="L442" i="1" s="1" a="1"/>
  <c r="L442" i="1" s="1"/>
  <c r="I442" i="1"/>
  <c r="K442" i="1" s="1" a="1"/>
  <c r="K442" i="1" s="1"/>
  <c r="H442" i="1"/>
  <c r="G442" i="1"/>
  <c r="J441" i="1" a="1"/>
  <c r="J441" i="1" s="1"/>
  <c r="L441" i="1" s="1" a="1"/>
  <c r="L441" i="1" s="1"/>
  <c r="I441" i="1"/>
  <c r="K441" i="1" s="1" a="1"/>
  <c r="K441" i="1" s="1"/>
  <c r="H441" i="1"/>
  <c r="G441" i="1"/>
  <c r="J440" i="1" a="1"/>
  <c r="J440" i="1" s="1"/>
  <c r="L440" i="1" s="1" a="1"/>
  <c r="L440" i="1" s="1"/>
  <c r="I440" i="1"/>
  <c r="K440" i="1" s="1" a="1"/>
  <c r="K440" i="1" s="1"/>
  <c r="H440" i="1"/>
  <c r="G440" i="1"/>
  <c r="J439" i="1" a="1"/>
  <c r="J439" i="1" s="1"/>
  <c r="L439" i="1" s="1" a="1"/>
  <c r="L439" i="1" s="1"/>
  <c r="I439" i="1"/>
  <c r="K439" i="1" s="1" a="1"/>
  <c r="K439" i="1" s="1"/>
  <c r="H439" i="1"/>
  <c r="G439" i="1"/>
  <c r="J438" i="1" a="1"/>
  <c r="J438" i="1" s="1"/>
  <c r="L438" i="1" s="1" a="1"/>
  <c r="L438" i="1" s="1"/>
  <c r="I438" i="1"/>
  <c r="K438" i="1" s="1" a="1"/>
  <c r="K438" i="1" s="1"/>
  <c r="H438" i="1"/>
  <c r="G438" i="1"/>
  <c r="J437" i="1" a="1"/>
  <c r="J437" i="1" s="1"/>
  <c r="L437" i="1" s="1" a="1"/>
  <c r="L437" i="1" s="1"/>
  <c r="I437" i="1"/>
  <c r="K437" i="1" s="1" a="1"/>
  <c r="K437" i="1" s="1"/>
  <c r="H437" i="1"/>
  <c r="G437" i="1"/>
  <c r="J436" i="1" a="1"/>
  <c r="J436" i="1" s="1"/>
  <c r="L436" i="1" s="1" a="1"/>
  <c r="L436" i="1" s="1"/>
  <c r="I436" i="1"/>
  <c r="K436" i="1" s="1" a="1"/>
  <c r="K436" i="1" s="1"/>
  <c r="H436" i="1"/>
  <c r="G436" i="1"/>
  <c r="J435" i="1" a="1"/>
  <c r="J435" i="1" s="1"/>
  <c r="L435" i="1" s="1" a="1"/>
  <c r="L435" i="1" s="1"/>
  <c r="I435" i="1"/>
  <c r="K435" i="1" s="1" a="1"/>
  <c r="K435" i="1" s="1"/>
  <c r="H435" i="1"/>
  <c r="G435" i="1"/>
  <c r="J434" i="1" a="1"/>
  <c r="J434" i="1" s="1"/>
  <c r="L434" i="1" s="1" a="1"/>
  <c r="L434" i="1" s="1"/>
  <c r="I434" i="1"/>
  <c r="K434" i="1" s="1" a="1"/>
  <c r="K434" i="1" s="1"/>
  <c r="H434" i="1"/>
  <c r="G434" i="1"/>
  <c r="J433" i="1" a="1"/>
  <c r="J433" i="1" s="1"/>
  <c r="L433" i="1" s="1" a="1"/>
  <c r="L433" i="1" s="1"/>
  <c r="I433" i="1"/>
  <c r="K433" i="1" s="1" a="1"/>
  <c r="K433" i="1" s="1"/>
  <c r="H433" i="1"/>
  <c r="G433" i="1"/>
  <c r="J432" i="1" a="1"/>
  <c r="J432" i="1" s="1"/>
  <c r="L432" i="1" s="1" a="1"/>
  <c r="L432" i="1" s="1"/>
  <c r="I432" i="1"/>
  <c r="K432" i="1" s="1" a="1"/>
  <c r="K432" i="1" s="1"/>
  <c r="H432" i="1"/>
  <c r="G432" i="1"/>
  <c r="J431" i="1" a="1"/>
  <c r="J431" i="1" s="1"/>
  <c r="L431" i="1" s="1" a="1"/>
  <c r="L431" i="1" s="1"/>
  <c r="I431" i="1"/>
  <c r="K431" i="1" s="1" a="1"/>
  <c r="K431" i="1" s="1"/>
  <c r="H431" i="1"/>
  <c r="G431" i="1"/>
  <c r="J430" i="1" a="1"/>
  <c r="J430" i="1" s="1"/>
  <c r="L430" i="1" s="1" a="1"/>
  <c r="L430" i="1" s="1"/>
  <c r="I430" i="1"/>
  <c r="K430" i="1" s="1" a="1"/>
  <c r="K430" i="1" s="1"/>
  <c r="H430" i="1"/>
  <c r="G430" i="1"/>
  <c r="J429" i="1" a="1"/>
  <c r="J429" i="1" s="1"/>
  <c r="L429" i="1" s="1" a="1"/>
  <c r="L429" i="1" s="1"/>
  <c r="I429" i="1"/>
  <c r="K429" i="1" s="1" a="1"/>
  <c r="K429" i="1" s="1"/>
  <c r="H429" i="1"/>
  <c r="G429" i="1"/>
  <c r="J428" i="1" a="1"/>
  <c r="J428" i="1" s="1"/>
  <c r="L428" i="1" s="1" a="1"/>
  <c r="L428" i="1" s="1"/>
  <c r="I428" i="1"/>
  <c r="K428" i="1" s="1" a="1"/>
  <c r="K428" i="1" s="1"/>
  <c r="H428" i="1"/>
  <c r="G428" i="1"/>
  <c r="J427" i="1" a="1"/>
  <c r="J427" i="1" s="1"/>
  <c r="L427" i="1" s="1" a="1"/>
  <c r="L427" i="1" s="1"/>
  <c r="I427" i="1"/>
  <c r="K427" i="1" s="1" a="1"/>
  <c r="K427" i="1" s="1"/>
  <c r="H427" i="1"/>
  <c r="G427" i="1"/>
  <c r="J426" i="1" a="1"/>
  <c r="J426" i="1" s="1"/>
  <c r="L426" i="1" s="1" a="1"/>
  <c r="L426" i="1" s="1"/>
  <c r="I426" i="1"/>
  <c r="K426" i="1" s="1" a="1"/>
  <c r="K426" i="1" s="1"/>
  <c r="H426" i="1"/>
  <c r="G426" i="1"/>
  <c r="J425" i="1" a="1"/>
  <c r="J425" i="1" s="1"/>
  <c r="L425" i="1" s="1" a="1"/>
  <c r="L425" i="1" s="1"/>
  <c r="I425" i="1"/>
  <c r="K425" i="1" s="1" a="1"/>
  <c r="K425" i="1" s="1"/>
  <c r="H425" i="1"/>
  <c r="G425" i="1"/>
  <c r="J424" i="1" a="1"/>
  <c r="J424" i="1" s="1"/>
  <c r="L424" i="1" s="1" a="1"/>
  <c r="L424" i="1" s="1"/>
  <c r="I424" i="1"/>
  <c r="K424" i="1" s="1" a="1"/>
  <c r="K424" i="1" s="1"/>
  <c r="H424" i="1"/>
  <c r="G424" i="1"/>
  <c r="J423" i="1" a="1"/>
  <c r="J423" i="1" s="1"/>
  <c r="L423" i="1" s="1" a="1"/>
  <c r="L423" i="1" s="1"/>
  <c r="I423" i="1"/>
  <c r="K423" i="1" s="1" a="1"/>
  <c r="K423" i="1" s="1"/>
  <c r="H423" i="1"/>
  <c r="G423" i="1"/>
  <c r="J422" i="1" a="1"/>
  <c r="J422" i="1" s="1"/>
  <c r="L422" i="1" s="1" a="1"/>
  <c r="L422" i="1" s="1"/>
  <c r="I422" i="1"/>
  <c r="K422" i="1" s="1" a="1"/>
  <c r="K422" i="1" s="1"/>
  <c r="H422" i="1"/>
  <c r="G422" i="1"/>
  <c r="J421" i="1" a="1"/>
  <c r="J421" i="1" s="1"/>
  <c r="L421" i="1" s="1" a="1"/>
  <c r="L421" i="1" s="1"/>
  <c r="I421" i="1"/>
  <c r="K421" i="1" s="1" a="1"/>
  <c r="K421" i="1" s="1"/>
  <c r="H421" i="1"/>
  <c r="G421" i="1"/>
  <c r="J420" i="1" a="1"/>
  <c r="J420" i="1" s="1"/>
  <c r="L420" i="1" s="1" a="1"/>
  <c r="L420" i="1" s="1"/>
  <c r="I420" i="1"/>
  <c r="K420" i="1" s="1" a="1"/>
  <c r="K420" i="1" s="1"/>
  <c r="H420" i="1"/>
  <c r="G420" i="1"/>
  <c r="J419" i="1" a="1"/>
  <c r="J419" i="1" s="1"/>
  <c r="L419" i="1" s="1" a="1"/>
  <c r="L419" i="1" s="1"/>
  <c r="I419" i="1"/>
  <c r="K419" i="1" s="1" a="1"/>
  <c r="K419" i="1" s="1"/>
  <c r="H419" i="1"/>
  <c r="G419" i="1"/>
  <c r="J418" i="1" a="1"/>
  <c r="J418" i="1" s="1"/>
  <c r="L418" i="1" s="1" a="1"/>
  <c r="L418" i="1" s="1"/>
  <c r="I418" i="1"/>
  <c r="K418" i="1" s="1" a="1"/>
  <c r="K418" i="1" s="1"/>
  <c r="H418" i="1"/>
  <c r="G418" i="1"/>
  <c r="J417" i="1" a="1"/>
  <c r="J417" i="1" s="1"/>
  <c r="L417" i="1" s="1" a="1"/>
  <c r="L417" i="1" s="1"/>
  <c r="I417" i="1"/>
  <c r="K417" i="1" s="1" a="1"/>
  <c r="K417" i="1" s="1"/>
  <c r="H417" i="1"/>
  <c r="G417" i="1"/>
  <c r="J416" i="1" a="1"/>
  <c r="J416" i="1" s="1"/>
  <c r="L416" i="1" s="1" a="1"/>
  <c r="L416" i="1" s="1"/>
  <c r="I416" i="1"/>
  <c r="K416" i="1" s="1" a="1"/>
  <c r="K416" i="1" s="1"/>
  <c r="H416" i="1"/>
  <c r="G416" i="1"/>
  <c r="J415" i="1" a="1"/>
  <c r="J415" i="1" s="1"/>
  <c r="L415" i="1" s="1" a="1"/>
  <c r="L415" i="1" s="1"/>
  <c r="I415" i="1"/>
  <c r="K415" i="1" s="1" a="1"/>
  <c r="K415" i="1" s="1"/>
  <c r="H415" i="1"/>
  <c r="G415" i="1"/>
  <c r="J414" i="1" a="1"/>
  <c r="J414" i="1" s="1"/>
  <c r="L414" i="1" s="1" a="1"/>
  <c r="L414" i="1" s="1"/>
  <c r="I414" i="1"/>
  <c r="K414" i="1" s="1" a="1"/>
  <c r="K414" i="1" s="1"/>
  <c r="H414" i="1"/>
  <c r="G414" i="1"/>
  <c r="J413" i="1" a="1"/>
  <c r="J413" i="1" s="1"/>
  <c r="L413" i="1" s="1" a="1"/>
  <c r="L413" i="1" s="1"/>
  <c r="I413" i="1"/>
  <c r="K413" i="1" s="1" a="1"/>
  <c r="K413" i="1" s="1"/>
  <c r="H413" i="1"/>
  <c r="G413" i="1"/>
  <c r="J412" i="1" a="1"/>
  <c r="J412" i="1" s="1"/>
  <c r="L412" i="1" s="1" a="1"/>
  <c r="L412" i="1" s="1"/>
  <c r="I412" i="1"/>
  <c r="K412" i="1" s="1" a="1"/>
  <c r="K412" i="1" s="1"/>
  <c r="H412" i="1"/>
  <c r="G412" i="1"/>
  <c r="J411" i="1" a="1"/>
  <c r="J411" i="1" s="1"/>
  <c r="L411" i="1" s="1" a="1"/>
  <c r="L411" i="1" s="1"/>
  <c r="I411" i="1"/>
  <c r="K411" i="1" s="1" a="1"/>
  <c r="K411" i="1" s="1"/>
  <c r="H411" i="1"/>
  <c r="G411" i="1"/>
  <c r="J410" i="1" a="1"/>
  <c r="J410" i="1" s="1"/>
  <c r="L410" i="1" s="1" a="1"/>
  <c r="L410" i="1" s="1"/>
  <c r="I410" i="1"/>
  <c r="K410" i="1" s="1" a="1"/>
  <c r="K410" i="1" s="1"/>
  <c r="H410" i="1"/>
  <c r="G410" i="1"/>
  <c r="J409" i="1" a="1"/>
  <c r="J409" i="1" s="1"/>
  <c r="L409" i="1" s="1" a="1"/>
  <c r="L409" i="1" s="1"/>
  <c r="I409" i="1"/>
  <c r="K409" i="1" s="1" a="1"/>
  <c r="K409" i="1" s="1"/>
  <c r="H409" i="1"/>
  <c r="G409" i="1"/>
  <c r="J408" i="1" a="1"/>
  <c r="J408" i="1" s="1"/>
  <c r="L408" i="1" s="1" a="1"/>
  <c r="L408" i="1" s="1"/>
  <c r="I408" i="1"/>
  <c r="K408" i="1" s="1" a="1"/>
  <c r="K408" i="1" s="1"/>
  <c r="H408" i="1"/>
  <c r="G408" i="1"/>
  <c r="J407" i="1" a="1"/>
  <c r="J407" i="1" s="1"/>
  <c r="L407" i="1" s="1" a="1"/>
  <c r="L407" i="1" s="1"/>
  <c r="I407" i="1"/>
  <c r="K407" i="1" s="1" a="1"/>
  <c r="K407" i="1" s="1"/>
  <c r="H407" i="1"/>
  <c r="G407" i="1"/>
  <c r="J406" i="1" a="1"/>
  <c r="J406" i="1" s="1"/>
  <c r="L406" i="1" s="1" a="1"/>
  <c r="L406" i="1" s="1"/>
  <c r="I406" i="1"/>
  <c r="K406" i="1" s="1" a="1"/>
  <c r="K406" i="1" s="1"/>
  <c r="H406" i="1"/>
  <c r="G406" i="1"/>
  <c r="J405" i="1" a="1"/>
  <c r="J405" i="1" s="1"/>
  <c r="L405" i="1" s="1" a="1"/>
  <c r="L405" i="1" s="1"/>
  <c r="I405" i="1"/>
  <c r="K405" i="1" s="1" a="1"/>
  <c r="K405" i="1" s="1"/>
  <c r="H405" i="1"/>
  <c r="G405" i="1"/>
  <c r="J404" i="1" a="1"/>
  <c r="J404" i="1" s="1"/>
  <c r="L404" i="1" s="1" a="1"/>
  <c r="L404" i="1" s="1"/>
  <c r="I404" i="1"/>
  <c r="K404" i="1" s="1" a="1"/>
  <c r="K404" i="1" s="1"/>
  <c r="H404" i="1"/>
  <c r="G404" i="1"/>
  <c r="J403" i="1" a="1"/>
  <c r="J403" i="1" s="1"/>
  <c r="L403" i="1" s="1" a="1"/>
  <c r="L403" i="1" s="1"/>
  <c r="I403" i="1"/>
  <c r="K403" i="1" s="1" a="1"/>
  <c r="K403" i="1" s="1"/>
  <c r="H403" i="1"/>
  <c r="G403" i="1"/>
  <c r="J402" i="1" a="1"/>
  <c r="J402" i="1" s="1"/>
  <c r="L402" i="1" s="1" a="1"/>
  <c r="L402" i="1" s="1"/>
  <c r="I402" i="1"/>
  <c r="K402" i="1" s="1" a="1"/>
  <c r="K402" i="1" s="1"/>
  <c r="H402" i="1"/>
  <c r="G402" i="1"/>
  <c r="J401" i="1" a="1"/>
  <c r="J401" i="1"/>
  <c r="L401" i="1" s="1" a="1"/>
  <c r="L401" i="1" s="1"/>
  <c r="I401" i="1"/>
  <c r="K401" i="1" s="1" a="1"/>
  <c r="K401" i="1" s="1"/>
  <c r="H401" i="1"/>
  <c r="G401" i="1"/>
  <c r="J400" i="1" a="1"/>
  <c r="J400" i="1"/>
  <c r="L400" i="1" s="1" a="1"/>
  <c r="L400" i="1" s="1"/>
  <c r="I400" i="1"/>
  <c r="K400" i="1" s="1" a="1"/>
  <c r="K400" i="1" s="1"/>
  <c r="H400" i="1"/>
  <c r="G400" i="1"/>
  <c r="J399" i="1" a="1"/>
  <c r="J399" i="1"/>
  <c r="L399" i="1" s="1" a="1"/>
  <c r="L399" i="1" s="1"/>
  <c r="I399" i="1"/>
  <c r="K399" i="1" s="1" a="1"/>
  <c r="K399" i="1" s="1"/>
  <c r="H399" i="1"/>
  <c r="G399" i="1"/>
  <c r="J398" i="1" a="1"/>
  <c r="J398" i="1"/>
  <c r="L398" i="1" s="1" a="1"/>
  <c r="L398" i="1" s="1"/>
  <c r="I398" i="1"/>
  <c r="K398" i="1" s="1" a="1"/>
  <c r="K398" i="1" s="1"/>
  <c r="H398" i="1"/>
  <c r="G398" i="1"/>
  <c r="J397" i="1" a="1"/>
  <c r="J397" i="1"/>
  <c r="L397" i="1" s="1" a="1"/>
  <c r="L397" i="1" s="1"/>
  <c r="I397" i="1"/>
  <c r="K397" i="1" s="1" a="1"/>
  <c r="K397" i="1" s="1"/>
  <c r="H397" i="1"/>
  <c r="G397" i="1"/>
  <c r="J396" i="1" a="1"/>
  <c r="J396" i="1"/>
  <c r="L396" i="1" s="1" a="1"/>
  <c r="L396" i="1" s="1"/>
  <c r="I396" i="1"/>
  <c r="K396" i="1" s="1" a="1"/>
  <c r="K396" i="1" s="1"/>
  <c r="H396" i="1"/>
  <c r="G396" i="1"/>
  <c r="J395" i="1" a="1"/>
  <c r="J395" i="1"/>
  <c r="L395" i="1" s="1" a="1"/>
  <c r="L395" i="1" s="1"/>
  <c r="I395" i="1"/>
  <c r="K395" i="1" s="1" a="1"/>
  <c r="K395" i="1" s="1"/>
  <c r="H395" i="1"/>
  <c r="G395" i="1"/>
  <c r="J394" i="1" a="1"/>
  <c r="J394" i="1"/>
  <c r="L394" i="1" s="1" a="1"/>
  <c r="L394" i="1" s="1"/>
  <c r="I394" i="1"/>
  <c r="K394" i="1" s="1" a="1"/>
  <c r="K394" i="1" s="1"/>
  <c r="H394" i="1"/>
  <c r="G394" i="1"/>
  <c r="J393" i="1" a="1"/>
  <c r="J393" i="1"/>
  <c r="L393" i="1" s="1" a="1"/>
  <c r="L393" i="1" s="1"/>
  <c r="I393" i="1"/>
  <c r="K393" i="1" s="1" a="1"/>
  <c r="K393" i="1" s="1"/>
  <c r="H393" i="1"/>
  <c r="G393" i="1"/>
  <c r="J392" i="1" a="1"/>
  <c r="J392" i="1"/>
  <c r="L392" i="1" s="1" a="1"/>
  <c r="L392" i="1" s="1"/>
  <c r="I392" i="1"/>
  <c r="K392" i="1" s="1" a="1"/>
  <c r="K392" i="1" s="1"/>
  <c r="H392" i="1"/>
  <c r="G392" i="1"/>
  <c r="J391" i="1" a="1"/>
  <c r="J391" i="1"/>
  <c r="L391" i="1" s="1" a="1"/>
  <c r="L391" i="1" s="1"/>
  <c r="I391" i="1"/>
  <c r="K391" i="1" s="1" a="1"/>
  <c r="K391" i="1" s="1"/>
  <c r="H391" i="1"/>
  <c r="G391" i="1"/>
  <c r="J390" i="1" a="1"/>
  <c r="J390" i="1"/>
  <c r="L390" i="1" s="1" a="1"/>
  <c r="L390" i="1" s="1"/>
  <c r="I390" i="1"/>
  <c r="K390" i="1" s="1" a="1"/>
  <c r="K390" i="1" s="1"/>
  <c r="H390" i="1"/>
  <c r="G390" i="1"/>
  <c r="J389" i="1" a="1"/>
  <c r="J389" i="1"/>
  <c r="L389" i="1" s="1" a="1"/>
  <c r="L389" i="1" s="1"/>
  <c r="I389" i="1"/>
  <c r="K389" i="1" s="1" a="1"/>
  <c r="K389" i="1" s="1"/>
  <c r="H389" i="1"/>
  <c r="G389" i="1"/>
  <c r="J388" i="1" a="1"/>
  <c r="J388" i="1"/>
  <c r="L388" i="1" s="1" a="1"/>
  <c r="L388" i="1" s="1"/>
  <c r="I388" i="1"/>
  <c r="K388" i="1" s="1" a="1"/>
  <c r="K388" i="1" s="1"/>
  <c r="H388" i="1"/>
  <c r="G388" i="1"/>
  <c r="J387" i="1" a="1"/>
  <c r="J387" i="1"/>
  <c r="L387" i="1" s="1" a="1"/>
  <c r="L387" i="1" s="1"/>
  <c r="I387" i="1"/>
  <c r="K387" i="1" s="1" a="1"/>
  <c r="K387" i="1" s="1"/>
  <c r="H387" i="1"/>
  <c r="G387" i="1"/>
  <c r="J386" i="1" a="1"/>
  <c r="J386" i="1"/>
  <c r="L386" i="1" s="1" a="1"/>
  <c r="L386" i="1" s="1"/>
  <c r="I386" i="1"/>
  <c r="K386" i="1" s="1" a="1"/>
  <c r="K386" i="1" s="1"/>
  <c r="H386" i="1"/>
  <c r="G386" i="1"/>
  <c r="J385" i="1" a="1"/>
  <c r="J385" i="1"/>
  <c r="L385" i="1" s="1" a="1"/>
  <c r="L385" i="1" s="1"/>
  <c r="I385" i="1"/>
  <c r="K385" i="1" s="1" a="1"/>
  <c r="K385" i="1" s="1"/>
  <c r="H385" i="1"/>
  <c r="G385" i="1"/>
  <c r="J384" i="1" a="1"/>
  <c r="J384" i="1"/>
  <c r="L384" i="1" s="1" a="1"/>
  <c r="L384" i="1" s="1"/>
  <c r="I384" i="1"/>
  <c r="K384" i="1" s="1" a="1"/>
  <c r="K384" i="1" s="1"/>
  <c r="H384" i="1"/>
  <c r="G384" i="1"/>
  <c r="J383" i="1" a="1"/>
  <c r="J383" i="1"/>
  <c r="L383" i="1" s="1" a="1"/>
  <c r="L383" i="1" s="1"/>
  <c r="I383" i="1"/>
  <c r="K383" i="1" s="1" a="1"/>
  <c r="K383" i="1" s="1"/>
  <c r="H383" i="1"/>
  <c r="G383" i="1"/>
  <c r="J382" i="1" a="1"/>
  <c r="J382" i="1"/>
  <c r="L382" i="1" s="1" a="1"/>
  <c r="L382" i="1" s="1"/>
  <c r="I382" i="1"/>
  <c r="K382" i="1" s="1" a="1"/>
  <c r="K382" i="1" s="1"/>
  <c r="H382" i="1"/>
  <c r="G382" i="1"/>
  <c r="J381" i="1" a="1"/>
  <c r="J381" i="1"/>
  <c r="L381" i="1" s="1" a="1"/>
  <c r="L381" i="1" s="1"/>
  <c r="I381" i="1"/>
  <c r="K381" i="1" s="1" a="1"/>
  <c r="K381" i="1" s="1"/>
  <c r="H381" i="1"/>
  <c r="G381" i="1"/>
  <c r="J380" i="1" a="1"/>
  <c r="J380" i="1"/>
  <c r="L380" i="1" s="1" a="1"/>
  <c r="L380" i="1" s="1"/>
  <c r="I380" i="1"/>
  <c r="K380" i="1" s="1" a="1"/>
  <c r="K380" i="1" s="1"/>
  <c r="H380" i="1"/>
  <c r="G380" i="1"/>
  <c r="J379" i="1" a="1"/>
  <c r="J379" i="1"/>
  <c r="L379" i="1" s="1" a="1"/>
  <c r="L379" i="1" s="1"/>
  <c r="I379" i="1"/>
  <c r="K379" i="1" s="1" a="1"/>
  <c r="K379" i="1" s="1"/>
  <c r="H379" i="1"/>
  <c r="G379" i="1"/>
  <c r="J378" i="1" a="1"/>
  <c r="J378" i="1"/>
  <c r="L378" i="1" s="1" a="1"/>
  <c r="L378" i="1" s="1"/>
  <c r="I378" i="1"/>
  <c r="K378" i="1" s="1" a="1"/>
  <c r="K378" i="1" s="1"/>
  <c r="H378" i="1"/>
  <c r="G378" i="1"/>
  <c r="J377" i="1" a="1"/>
  <c r="J377" i="1"/>
  <c r="L377" i="1" s="1" a="1"/>
  <c r="L377" i="1" s="1"/>
  <c r="I377" i="1"/>
  <c r="K377" i="1" s="1" a="1"/>
  <c r="K377" i="1" s="1"/>
  <c r="H377" i="1"/>
  <c r="G377" i="1"/>
  <c r="J376" i="1" a="1"/>
  <c r="J376" i="1"/>
  <c r="L376" i="1" s="1" a="1"/>
  <c r="L376" i="1" s="1"/>
  <c r="I376" i="1"/>
  <c r="K376" i="1" s="1" a="1"/>
  <c r="K376" i="1" s="1"/>
  <c r="H376" i="1"/>
  <c r="G376" i="1"/>
  <c r="J375" i="1" a="1"/>
  <c r="J375" i="1"/>
  <c r="L375" i="1" s="1" a="1"/>
  <c r="L375" i="1" s="1"/>
  <c r="I375" i="1"/>
  <c r="K375" i="1" s="1" a="1"/>
  <c r="K375" i="1" s="1"/>
  <c r="H375" i="1"/>
  <c r="G375" i="1"/>
  <c r="J374" i="1" a="1"/>
  <c r="J374" i="1"/>
  <c r="L374" i="1" s="1" a="1"/>
  <c r="L374" i="1" s="1"/>
  <c r="I374" i="1"/>
  <c r="K374" i="1" s="1" a="1"/>
  <c r="K374" i="1" s="1"/>
  <c r="H374" i="1"/>
  <c r="G374" i="1"/>
  <c r="J373" i="1" a="1"/>
  <c r="J373" i="1"/>
  <c r="L373" i="1" s="1" a="1"/>
  <c r="L373" i="1" s="1"/>
  <c r="I373" i="1"/>
  <c r="K373" i="1" s="1" a="1"/>
  <c r="K373" i="1" s="1"/>
  <c r="H373" i="1"/>
  <c r="G373" i="1"/>
  <c r="J372" i="1" a="1"/>
  <c r="J372" i="1"/>
  <c r="L372" i="1" s="1" a="1"/>
  <c r="L372" i="1" s="1"/>
  <c r="I372" i="1"/>
  <c r="K372" i="1" s="1" a="1"/>
  <c r="K372" i="1" s="1"/>
  <c r="H372" i="1"/>
  <c r="G372" i="1"/>
  <c r="J371" i="1" a="1"/>
  <c r="J371" i="1"/>
  <c r="L371" i="1" s="1" a="1"/>
  <c r="L371" i="1" s="1"/>
  <c r="I371" i="1"/>
  <c r="K371" i="1" s="1" a="1"/>
  <c r="K371" i="1" s="1"/>
  <c r="H371" i="1"/>
  <c r="G371" i="1"/>
  <c r="J370" i="1" a="1"/>
  <c r="J370" i="1"/>
  <c r="L370" i="1" s="1" a="1"/>
  <c r="L370" i="1" s="1"/>
  <c r="I370" i="1"/>
  <c r="K370" i="1" s="1" a="1"/>
  <c r="K370" i="1" s="1"/>
  <c r="H370" i="1"/>
  <c r="G370" i="1"/>
  <c r="J369" i="1" a="1"/>
  <c r="J369" i="1"/>
  <c r="L369" i="1" s="1" a="1"/>
  <c r="L369" i="1" s="1"/>
  <c r="I369" i="1"/>
  <c r="K369" i="1" s="1" a="1"/>
  <c r="K369" i="1" s="1"/>
  <c r="H369" i="1"/>
  <c r="G369" i="1"/>
  <c r="J368" i="1" a="1"/>
  <c r="J368" i="1"/>
  <c r="L368" i="1" s="1" a="1"/>
  <c r="L368" i="1" s="1"/>
  <c r="I368" i="1"/>
  <c r="K368" i="1" s="1" a="1"/>
  <c r="K368" i="1" s="1"/>
  <c r="H368" i="1"/>
  <c r="G368" i="1"/>
  <c r="J367" i="1" a="1"/>
  <c r="J367" i="1"/>
  <c r="L367" i="1" s="1" a="1"/>
  <c r="L367" i="1" s="1"/>
  <c r="I367" i="1"/>
  <c r="K367" i="1" s="1" a="1"/>
  <c r="K367" i="1" s="1"/>
  <c r="H367" i="1"/>
  <c r="G367" i="1"/>
  <c r="J366" i="1" a="1"/>
  <c r="J366" i="1"/>
  <c r="L366" i="1" s="1" a="1"/>
  <c r="L366" i="1" s="1"/>
  <c r="I366" i="1"/>
  <c r="K366" i="1" s="1" a="1"/>
  <c r="K366" i="1" s="1"/>
  <c r="H366" i="1"/>
  <c r="G366" i="1"/>
  <c r="J365" i="1" a="1"/>
  <c r="J365" i="1"/>
  <c r="L365" i="1" s="1" a="1"/>
  <c r="L365" i="1" s="1"/>
  <c r="I365" i="1"/>
  <c r="K365" i="1" s="1" a="1"/>
  <c r="K365" i="1" s="1"/>
  <c r="H365" i="1"/>
  <c r="G365" i="1"/>
  <c r="J364" i="1" a="1"/>
  <c r="J364" i="1"/>
  <c r="L364" i="1" s="1" a="1"/>
  <c r="L364" i="1" s="1"/>
  <c r="I364" i="1"/>
  <c r="K364" i="1" s="1" a="1"/>
  <c r="K364" i="1" s="1"/>
  <c r="H364" i="1"/>
  <c r="G364" i="1"/>
  <c r="J363" i="1" a="1"/>
  <c r="J363" i="1"/>
  <c r="L363" i="1" s="1" a="1"/>
  <c r="L363" i="1" s="1"/>
  <c r="I363" i="1"/>
  <c r="K363" i="1" s="1" a="1"/>
  <c r="K363" i="1" s="1"/>
  <c r="H363" i="1"/>
  <c r="G363" i="1"/>
  <c r="J362" i="1" a="1"/>
  <c r="J362" i="1"/>
  <c r="L362" i="1" s="1" a="1"/>
  <c r="L362" i="1" s="1"/>
  <c r="I362" i="1"/>
  <c r="K362" i="1" s="1" a="1"/>
  <c r="K362" i="1" s="1"/>
  <c r="H362" i="1"/>
  <c r="G362" i="1"/>
  <c r="J361" i="1" a="1"/>
  <c r="J361" i="1"/>
  <c r="L361" i="1" s="1" a="1"/>
  <c r="L361" i="1" s="1"/>
  <c r="I361" i="1"/>
  <c r="K361" i="1" s="1" a="1"/>
  <c r="K361" i="1" s="1"/>
  <c r="H361" i="1"/>
  <c r="G361" i="1"/>
  <c r="J360" i="1" a="1"/>
  <c r="J360" i="1"/>
  <c r="L360" i="1" s="1" a="1"/>
  <c r="L360" i="1" s="1"/>
  <c r="I360" i="1"/>
  <c r="K360" i="1" s="1" a="1"/>
  <c r="K360" i="1" s="1"/>
  <c r="H360" i="1"/>
  <c r="G360" i="1"/>
  <c r="J359" i="1" a="1"/>
  <c r="J359" i="1"/>
  <c r="L359" i="1" s="1" a="1"/>
  <c r="L359" i="1" s="1"/>
  <c r="I359" i="1"/>
  <c r="K359" i="1" s="1" a="1"/>
  <c r="K359" i="1" s="1"/>
  <c r="H359" i="1"/>
  <c r="G359" i="1"/>
  <c r="J358" i="1" a="1"/>
  <c r="J358" i="1"/>
  <c r="L358" i="1" s="1" a="1"/>
  <c r="L358" i="1" s="1"/>
  <c r="I358" i="1"/>
  <c r="K358" i="1" s="1" a="1"/>
  <c r="K358" i="1" s="1"/>
  <c r="H358" i="1"/>
  <c r="G358" i="1"/>
  <c r="J357" i="1" a="1"/>
  <c r="J357" i="1"/>
  <c r="L357" i="1" s="1" a="1"/>
  <c r="L357" i="1" s="1"/>
  <c r="I357" i="1"/>
  <c r="K357" i="1" s="1" a="1"/>
  <c r="K357" i="1" s="1"/>
  <c r="H357" i="1"/>
  <c r="G357" i="1"/>
  <c r="J356" i="1" a="1"/>
  <c r="J356" i="1"/>
  <c r="L356" i="1" s="1" a="1"/>
  <c r="L356" i="1" s="1"/>
  <c r="I356" i="1"/>
  <c r="K356" i="1" s="1" a="1"/>
  <c r="K356" i="1" s="1"/>
  <c r="H356" i="1"/>
  <c r="G356" i="1"/>
  <c r="J355" i="1" a="1"/>
  <c r="J355" i="1"/>
  <c r="L355" i="1" s="1" a="1"/>
  <c r="L355" i="1" s="1"/>
  <c r="I355" i="1"/>
  <c r="K355" i="1" s="1" a="1"/>
  <c r="K355" i="1" s="1"/>
  <c r="H355" i="1"/>
  <c r="G355" i="1"/>
  <c r="J354" i="1" a="1"/>
  <c r="J354" i="1"/>
  <c r="L354" i="1" s="1" a="1"/>
  <c r="L354" i="1" s="1"/>
  <c r="I354" i="1"/>
  <c r="K354" i="1" s="1" a="1"/>
  <c r="K354" i="1" s="1"/>
  <c r="H354" i="1"/>
  <c r="G354" i="1"/>
  <c r="J353" i="1" a="1"/>
  <c r="J353" i="1"/>
  <c r="L353" i="1" s="1" a="1"/>
  <c r="L353" i="1" s="1"/>
  <c r="I353" i="1"/>
  <c r="K353" i="1" s="1" a="1"/>
  <c r="K353" i="1" s="1"/>
  <c r="H353" i="1"/>
  <c r="G353" i="1"/>
  <c r="J352" i="1" a="1"/>
  <c r="J352" i="1"/>
  <c r="L352" i="1" s="1" a="1"/>
  <c r="L352" i="1" s="1"/>
  <c r="I352" i="1"/>
  <c r="K352" i="1" s="1" a="1"/>
  <c r="K352" i="1" s="1"/>
  <c r="H352" i="1"/>
  <c r="G352" i="1"/>
  <c r="J351" i="1" a="1"/>
  <c r="J351" i="1"/>
  <c r="L351" i="1" s="1" a="1"/>
  <c r="L351" i="1" s="1"/>
  <c r="I351" i="1"/>
  <c r="K351" i="1" s="1" a="1"/>
  <c r="K351" i="1" s="1"/>
  <c r="H351" i="1"/>
  <c r="G351" i="1"/>
  <c r="J350" i="1" a="1"/>
  <c r="J350" i="1"/>
  <c r="L350" i="1" s="1" a="1"/>
  <c r="L350" i="1" s="1"/>
  <c r="I350" i="1"/>
  <c r="K350" i="1" s="1" a="1"/>
  <c r="K350" i="1" s="1"/>
  <c r="H350" i="1"/>
  <c r="G350" i="1"/>
  <c r="J349" i="1" a="1"/>
  <c r="J349" i="1"/>
  <c r="L349" i="1" s="1" a="1"/>
  <c r="L349" i="1" s="1"/>
  <c r="I349" i="1"/>
  <c r="K349" i="1" s="1" a="1"/>
  <c r="K349" i="1" s="1"/>
  <c r="H349" i="1"/>
  <c r="G349" i="1"/>
  <c r="J348" i="1" a="1"/>
  <c r="J348" i="1"/>
  <c r="L348" i="1" s="1" a="1"/>
  <c r="L348" i="1" s="1"/>
  <c r="I348" i="1"/>
  <c r="K348" i="1" s="1" a="1"/>
  <c r="K348" i="1" s="1"/>
  <c r="H348" i="1"/>
  <c r="G348" i="1"/>
  <c r="J347" i="1" a="1"/>
  <c r="J347" i="1"/>
  <c r="L347" i="1" s="1" a="1"/>
  <c r="L347" i="1" s="1"/>
  <c r="I347" i="1"/>
  <c r="K347" i="1" s="1" a="1"/>
  <c r="K347" i="1" s="1"/>
  <c r="H347" i="1"/>
  <c r="G347" i="1"/>
  <c r="J346" i="1" a="1"/>
  <c r="J346" i="1"/>
  <c r="L346" i="1" s="1" a="1"/>
  <c r="L346" i="1" s="1"/>
  <c r="I346" i="1"/>
  <c r="K346" i="1" s="1" a="1"/>
  <c r="K346" i="1" s="1"/>
  <c r="H346" i="1"/>
  <c r="G346" i="1"/>
  <c r="J345" i="1" a="1"/>
  <c r="J345" i="1"/>
  <c r="L345" i="1" s="1" a="1"/>
  <c r="L345" i="1" s="1"/>
  <c r="I345" i="1"/>
  <c r="K345" i="1" s="1" a="1"/>
  <c r="K345" i="1" s="1"/>
  <c r="H345" i="1"/>
  <c r="G345" i="1"/>
  <c r="J344" i="1" a="1"/>
  <c r="J344" i="1"/>
  <c r="L344" i="1" s="1" a="1"/>
  <c r="L344" i="1" s="1"/>
  <c r="I344" i="1"/>
  <c r="K344" i="1" s="1" a="1"/>
  <c r="K344" i="1" s="1"/>
  <c r="H344" i="1"/>
  <c r="G344" i="1"/>
  <c r="J343" i="1" a="1"/>
  <c r="J343" i="1"/>
  <c r="L343" i="1" s="1" a="1"/>
  <c r="L343" i="1" s="1"/>
  <c r="I343" i="1"/>
  <c r="K343" i="1" s="1" a="1"/>
  <c r="K343" i="1" s="1"/>
  <c r="H343" i="1"/>
  <c r="G343" i="1"/>
  <c r="J342" i="1" a="1"/>
  <c r="J342" i="1"/>
  <c r="L342" i="1" s="1" a="1"/>
  <c r="L342" i="1" s="1"/>
  <c r="I342" i="1"/>
  <c r="K342" i="1" s="1" a="1"/>
  <c r="K342" i="1" s="1"/>
  <c r="H342" i="1"/>
  <c r="G342" i="1"/>
  <c r="J341" i="1" a="1"/>
  <c r="J341" i="1"/>
  <c r="L341" i="1" s="1" a="1"/>
  <c r="L341" i="1" s="1"/>
  <c r="I341" i="1"/>
  <c r="K341" i="1" s="1" a="1"/>
  <c r="K341" i="1" s="1"/>
  <c r="H341" i="1"/>
  <c r="G341" i="1"/>
  <c r="J340" i="1" a="1"/>
  <c r="J340" i="1"/>
  <c r="L340" i="1" s="1" a="1"/>
  <c r="L340" i="1" s="1"/>
  <c r="I340" i="1"/>
  <c r="K340" i="1" s="1" a="1"/>
  <c r="K340" i="1" s="1"/>
  <c r="H340" i="1"/>
  <c r="G340" i="1"/>
  <c r="J339" i="1" a="1"/>
  <c r="J339" i="1" s="1"/>
  <c r="L339" i="1" s="1" a="1"/>
  <c r="L339" i="1" s="1"/>
  <c r="I339" i="1"/>
  <c r="K339" i="1" s="1" a="1"/>
  <c r="K339" i="1" s="1"/>
  <c r="H339" i="1"/>
  <c r="G339" i="1"/>
  <c r="J338" i="1" a="1"/>
  <c r="J338" i="1"/>
  <c r="L338" i="1" s="1" a="1"/>
  <c r="L338" i="1" s="1"/>
  <c r="I338" i="1"/>
  <c r="K338" i="1" s="1" a="1"/>
  <c r="K338" i="1" s="1"/>
  <c r="H338" i="1"/>
  <c r="G338" i="1"/>
  <c r="J337" i="1" a="1"/>
  <c r="J337" i="1"/>
  <c r="L337" i="1" s="1" a="1"/>
  <c r="L337" i="1" s="1"/>
  <c r="I337" i="1"/>
  <c r="K337" i="1" s="1" a="1"/>
  <c r="K337" i="1" s="1"/>
  <c r="H337" i="1"/>
  <c r="G337" i="1"/>
  <c r="J336" i="1" a="1"/>
  <c r="J336" i="1"/>
  <c r="L336" i="1" s="1" a="1"/>
  <c r="L336" i="1" s="1"/>
  <c r="I336" i="1"/>
  <c r="K336" i="1" s="1" a="1"/>
  <c r="K336" i="1" s="1"/>
  <c r="H336" i="1"/>
  <c r="G336" i="1"/>
  <c r="J335" i="1" a="1"/>
  <c r="J335" i="1"/>
  <c r="L335" i="1" s="1" a="1"/>
  <c r="L335" i="1" s="1"/>
  <c r="I335" i="1"/>
  <c r="K335" i="1" s="1" a="1"/>
  <c r="K335" i="1" s="1"/>
  <c r="H335" i="1"/>
  <c r="G335" i="1"/>
  <c r="J334" i="1" a="1"/>
  <c r="J334" i="1"/>
  <c r="L334" i="1" s="1" a="1"/>
  <c r="L334" i="1" s="1"/>
  <c r="I334" i="1"/>
  <c r="K334" i="1" s="1" a="1"/>
  <c r="K334" i="1" s="1"/>
  <c r="H334" i="1"/>
  <c r="G334" i="1"/>
  <c r="J333" i="1" a="1"/>
  <c r="J333" i="1"/>
  <c r="L333" i="1" s="1" a="1"/>
  <c r="L333" i="1" s="1"/>
  <c r="I333" i="1"/>
  <c r="K333" i="1" s="1" a="1"/>
  <c r="K333" i="1" s="1"/>
  <c r="H333" i="1"/>
  <c r="G333" i="1"/>
  <c r="J332" i="1" a="1"/>
  <c r="J332" i="1"/>
  <c r="L332" i="1" s="1" a="1"/>
  <c r="L332" i="1" s="1"/>
  <c r="I332" i="1"/>
  <c r="K332" i="1" s="1" a="1"/>
  <c r="K332" i="1" s="1"/>
  <c r="H332" i="1"/>
  <c r="G332" i="1"/>
  <c r="J331" i="1" a="1"/>
  <c r="J331" i="1"/>
  <c r="L331" i="1" s="1" a="1"/>
  <c r="L331" i="1" s="1"/>
  <c r="I331" i="1"/>
  <c r="K331" i="1" s="1" a="1"/>
  <c r="K331" i="1" s="1"/>
  <c r="H331" i="1"/>
  <c r="G331" i="1"/>
  <c r="J330" i="1" a="1"/>
  <c r="J330" i="1"/>
  <c r="L330" i="1" s="1" a="1"/>
  <c r="L330" i="1" s="1"/>
  <c r="I330" i="1"/>
  <c r="K330" i="1" s="1" a="1"/>
  <c r="K330" i="1" s="1"/>
  <c r="H330" i="1"/>
  <c r="G330" i="1"/>
  <c r="J329" i="1" a="1"/>
  <c r="J329" i="1"/>
  <c r="L329" i="1" s="1" a="1"/>
  <c r="L329" i="1" s="1"/>
  <c r="I329" i="1"/>
  <c r="K329" i="1" s="1" a="1"/>
  <c r="K329" i="1" s="1"/>
  <c r="H329" i="1"/>
  <c r="G329" i="1"/>
  <c r="J328" i="1" a="1"/>
  <c r="J328" i="1"/>
  <c r="L328" i="1" s="1" a="1"/>
  <c r="L328" i="1" s="1"/>
  <c r="I328" i="1"/>
  <c r="K328" i="1" s="1" a="1"/>
  <c r="K328" i="1" s="1"/>
  <c r="H328" i="1"/>
  <c r="G328" i="1"/>
  <c r="J327" i="1" a="1"/>
  <c r="J327" i="1"/>
  <c r="L327" i="1" s="1" a="1"/>
  <c r="L327" i="1" s="1"/>
  <c r="I327" i="1"/>
  <c r="K327" i="1" s="1" a="1"/>
  <c r="K327" i="1" s="1"/>
  <c r="H327" i="1"/>
  <c r="G327" i="1"/>
  <c r="J326" i="1" a="1"/>
  <c r="J326" i="1"/>
  <c r="L326" i="1" s="1" a="1"/>
  <c r="L326" i="1" s="1"/>
  <c r="I326" i="1"/>
  <c r="K326" i="1" s="1" a="1"/>
  <c r="K326" i="1" s="1"/>
  <c r="H326" i="1"/>
  <c r="G326" i="1"/>
  <c r="J325" i="1" a="1"/>
  <c r="J325" i="1"/>
  <c r="L325" i="1" s="1" a="1"/>
  <c r="L325" i="1" s="1"/>
  <c r="I325" i="1"/>
  <c r="K325" i="1" s="1" a="1"/>
  <c r="K325" i="1" s="1"/>
  <c r="H325" i="1"/>
  <c r="G325" i="1"/>
  <c r="J324" i="1" a="1"/>
  <c r="J324" i="1"/>
  <c r="L324" i="1" s="1" a="1"/>
  <c r="L324" i="1" s="1"/>
  <c r="I324" i="1"/>
  <c r="K324" i="1" s="1" a="1"/>
  <c r="K324" i="1" s="1"/>
  <c r="H324" i="1"/>
  <c r="G324" i="1"/>
  <c r="J323" i="1" a="1"/>
  <c r="J323" i="1"/>
  <c r="L323" i="1" s="1" a="1"/>
  <c r="L323" i="1" s="1"/>
  <c r="I323" i="1"/>
  <c r="K323" i="1" s="1" a="1"/>
  <c r="K323" i="1" s="1"/>
  <c r="H323" i="1"/>
  <c r="G323" i="1"/>
  <c r="J322" i="1" a="1"/>
  <c r="J322" i="1"/>
  <c r="L322" i="1" s="1" a="1"/>
  <c r="L322" i="1" s="1"/>
  <c r="I322" i="1"/>
  <c r="K322" i="1" s="1" a="1"/>
  <c r="K322" i="1" s="1"/>
  <c r="H322" i="1"/>
  <c r="G322" i="1"/>
  <c r="J321" i="1" a="1"/>
  <c r="J321" i="1"/>
  <c r="L321" i="1" s="1" a="1"/>
  <c r="L321" i="1" s="1"/>
  <c r="I321" i="1"/>
  <c r="K321" i="1" s="1" a="1"/>
  <c r="K321" i="1" s="1"/>
  <c r="H321" i="1"/>
  <c r="G321" i="1"/>
  <c r="J320" i="1" a="1"/>
  <c r="J320" i="1" s="1"/>
  <c r="L320" i="1" s="1" a="1"/>
  <c r="L320" i="1" s="1"/>
  <c r="I320" i="1"/>
  <c r="K320" i="1" s="1" a="1"/>
  <c r="K320" i="1" s="1"/>
  <c r="H320" i="1"/>
  <c r="G320" i="1"/>
  <c r="J319" i="1" a="1"/>
  <c r="J319" i="1" s="1"/>
  <c r="L319" i="1" s="1" a="1"/>
  <c r="L319" i="1" s="1"/>
  <c r="I319" i="1"/>
  <c r="K319" i="1" s="1" a="1"/>
  <c r="K319" i="1" s="1"/>
  <c r="H319" i="1"/>
  <c r="G319" i="1"/>
  <c r="J318" i="1" a="1"/>
  <c r="J318" i="1" s="1"/>
  <c r="L318" i="1" s="1" a="1"/>
  <c r="L318" i="1" s="1"/>
  <c r="I318" i="1"/>
  <c r="K318" i="1" s="1" a="1"/>
  <c r="K318" i="1" s="1"/>
  <c r="H318" i="1"/>
  <c r="G318" i="1"/>
  <c r="J317" i="1" a="1"/>
  <c r="J317" i="1" s="1"/>
  <c r="L317" i="1" s="1" a="1"/>
  <c r="L317" i="1" s="1"/>
  <c r="I317" i="1"/>
  <c r="K317" i="1" s="1" a="1"/>
  <c r="K317" i="1" s="1"/>
  <c r="H317" i="1"/>
  <c r="G317" i="1"/>
  <c r="J316" i="1" a="1"/>
  <c r="J316" i="1" s="1"/>
  <c r="L316" i="1" s="1" a="1"/>
  <c r="L316" i="1" s="1"/>
  <c r="I316" i="1"/>
  <c r="K316" i="1" s="1" a="1"/>
  <c r="K316" i="1" s="1"/>
  <c r="H316" i="1"/>
  <c r="G316" i="1"/>
  <c r="J315" i="1" a="1"/>
  <c r="J315" i="1" s="1"/>
  <c r="L315" i="1" s="1" a="1"/>
  <c r="L315" i="1" s="1"/>
  <c r="I315" i="1"/>
  <c r="K315" i="1" s="1" a="1"/>
  <c r="K315" i="1" s="1"/>
  <c r="H315" i="1"/>
  <c r="G315" i="1"/>
  <c r="J314" i="1" a="1"/>
  <c r="J314" i="1" s="1"/>
  <c r="L314" i="1" s="1" a="1"/>
  <c r="L314" i="1" s="1"/>
  <c r="I314" i="1"/>
  <c r="K314" i="1" s="1" a="1"/>
  <c r="K314" i="1" s="1"/>
  <c r="H314" i="1"/>
  <c r="G314" i="1"/>
  <c r="J313" i="1" a="1"/>
  <c r="J313" i="1" s="1"/>
  <c r="L313" i="1" s="1" a="1"/>
  <c r="L313" i="1" s="1"/>
  <c r="I313" i="1"/>
  <c r="K313" i="1" s="1" a="1"/>
  <c r="K313" i="1" s="1"/>
  <c r="H313" i="1"/>
  <c r="G313" i="1"/>
  <c r="J312" i="1" a="1"/>
  <c r="J312" i="1" s="1"/>
  <c r="L312" i="1" s="1" a="1"/>
  <c r="L312" i="1" s="1"/>
  <c r="I312" i="1"/>
  <c r="K312" i="1" s="1" a="1"/>
  <c r="K312" i="1" s="1"/>
  <c r="H312" i="1"/>
  <c r="G312" i="1"/>
  <c r="J311" i="1" a="1"/>
  <c r="J311" i="1" s="1"/>
  <c r="L311" i="1" s="1" a="1"/>
  <c r="L311" i="1" s="1"/>
  <c r="I311" i="1"/>
  <c r="K311" i="1" s="1" a="1"/>
  <c r="K311" i="1" s="1"/>
  <c r="H311" i="1"/>
  <c r="G311" i="1"/>
  <c r="J310" i="1" a="1"/>
  <c r="J310" i="1" s="1"/>
  <c r="L310" i="1" s="1" a="1"/>
  <c r="L310" i="1" s="1"/>
  <c r="I310" i="1"/>
  <c r="K310" i="1" s="1" a="1"/>
  <c r="K310" i="1" s="1"/>
  <c r="H310" i="1"/>
  <c r="G310" i="1"/>
  <c r="J309" i="1" a="1"/>
  <c r="J309" i="1" s="1"/>
  <c r="L309" i="1" s="1" a="1"/>
  <c r="L309" i="1" s="1"/>
  <c r="I309" i="1"/>
  <c r="K309" i="1" s="1" a="1"/>
  <c r="K309" i="1" s="1"/>
  <c r="H309" i="1"/>
  <c r="G309" i="1"/>
  <c r="J308" i="1" a="1"/>
  <c r="J308" i="1" s="1"/>
  <c r="L308" i="1" s="1" a="1"/>
  <c r="L308" i="1" s="1"/>
  <c r="I308" i="1"/>
  <c r="K308" i="1" s="1" a="1"/>
  <c r="K308" i="1" s="1"/>
  <c r="H308" i="1"/>
  <c r="G308" i="1"/>
  <c r="J307" i="1" a="1"/>
  <c r="J307" i="1" s="1"/>
  <c r="L307" i="1" s="1" a="1"/>
  <c r="L307" i="1" s="1"/>
  <c r="I307" i="1"/>
  <c r="K307" i="1" s="1" a="1"/>
  <c r="K307" i="1" s="1"/>
  <c r="H307" i="1"/>
  <c r="G307" i="1"/>
  <c r="J306" i="1" a="1"/>
  <c r="J306" i="1" s="1"/>
  <c r="L306" i="1" s="1" a="1"/>
  <c r="L306" i="1" s="1"/>
  <c r="I306" i="1"/>
  <c r="K306" i="1" s="1" a="1"/>
  <c r="K306" i="1" s="1"/>
  <c r="H306" i="1"/>
  <c r="G306" i="1"/>
  <c r="J305" i="1" a="1"/>
  <c r="J305" i="1" s="1"/>
  <c r="L305" i="1" s="1" a="1"/>
  <c r="L305" i="1" s="1"/>
  <c r="I305" i="1"/>
  <c r="K305" i="1" s="1" a="1"/>
  <c r="K305" i="1" s="1"/>
  <c r="H305" i="1"/>
  <c r="G305" i="1"/>
  <c r="J304" i="1" a="1"/>
  <c r="J304" i="1" s="1"/>
  <c r="L304" i="1" s="1" a="1"/>
  <c r="L304" i="1" s="1"/>
  <c r="I304" i="1"/>
  <c r="K304" i="1" s="1" a="1"/>
  <c r="K304" i="1" s="1"/>
  <c r="H304" i="1"/>
  <c r="G304" i="1"/>
  <c r="J303" i="1" a="1"/>
  <c r="J303" i="1" s="1"/>
  <c r="L303" i="1" s="1" a="1"/>
  <c r="L303" i="1" s="1"/>
  <c r="I303" i="1"/>
  <c r="K303" i="1" s="1" a="1"/>
  <c r="K303" i="1" s="1"/>
  <c r="H303" i="1"/>
  <c r="G303" i="1"/>
  <c r="J302" i="1" a="1"/>
  <c r="J302" i="1" s="1"/>
  <c r="L302" i="1" s="1" a="1"/>
  <c r="L302" i="1" s="1"/>
  <c r="I302" i="1"/>
  <c r="K302" i="1" s="1" a="1"/>
  <c r="K302" i="1" s="1"/>
  <c r="H302" i="1"/>
  <c r="G302" i="1"/>
  <c r="J301" i="1" a="1"/>
  <c r="J301" i="1" s="1"/>
  <c r="L301" i="1" s="1" a="1"/>
  <c r="L301" i="1" s="1"/>
  <c r="I301" i="1"/>
  <c r="K301" i="1" s="1" a="1"/>
  <c r="K301" i="1" s="1"/>
  <c r="H301" i="1"/>
  <c r="G301" i="1"/>
  <c r="J300" i="1" a="1"/>
  <c r="J300" i="1" s="1"/>
  <c r="L300" i="1" s="1" a="1"/>
  <c r="L300" i="1" s="1"/>
  <c r="I300" i="1"/>
  <c r="K300" i="1" s="1" a="1"/>
  <c r="K300" i="1" s="1"/>
  <c r="H300" i="1"/>
  <c r="G300" i="1"/>
  <c r="J299" i="1" a="1"/>
  <c r="J299" i="1" s="1"/>
  <c r="L299" i="1" s="1" a="1"/>
  <c r="L299" i="1" s="1"/>
  <c r="I299" i="1"/>
  <c r="K299" i="1" s="1" a="1"/>
  <c r="K299" i="1" s="1"/>
  <c r="H299" i="1"/>
  <c r="G299" i="1"/>
  <c r="J298" i="1" a="1"/>
  <c r="J298" i="1" s="1"/>
  <c r="L298" i="1" s="1" a="1"/>
  <c r="L298" i="1" s="1"/>
  <c r="I298" i="1"/>
  <c r="K298" i="1" s="1" a="1"/>
  <c r="K298" i="1" s="1"/>
  <c r="H298" i="1"/>
  <c r="G298" i="1"/>
  <c r="J297" i="1" a="1"/>
  <c r="J297" i="1" s="1"/>
  <c r="L297" i="1" s="1" a="1"/>
  <c r="L297" i="1" s="1"/>
  <c r="I297" i="1"/>
  <c r="K297" i="1" s="1" a="1"/>
  <c r="K297" i="1" s="1"/>
  <c r="H297" i="1"/>
  <c r="G297" i="1"/>
  <c r="J296" i="1" a="1"/>
  <c r="J296" i="1" s="1"/>
  <c r="L296" i="1" s="1" a="1"/>
  <c r="L296" i="1" s="1"/>
  <c r="I296" i="1"/>
  <c r="K296" i="1" s="1" a="1"/>
  <c r="K296" i="1" s="1"/>
  <c r="H296" i="1"/>
  <c r="G296" i="1"/>
  <c r="J295" i="1" a="1"/>
  <c r="J295" i="1" s="1"/>
  <c r="L295" i="1" s="1" a="1"/>
  <c r="L295" i="1" s="1"/>
  <c r="I295" i="1"/>
  <c r="K295" i="1" s="1" a="1"/>
  <c r="K295" i="1" s="1"/>
  <c r="H295" i="1"/>
  <c r="G295" i="1"/>
  <c r="J294" i="1" a="1"/>
  <c r="J294" i="1" s="1"/>
  <c r="L294" i="1" s="1" a="1"/>
  <c r="L294" i="1" s="1"/>
  <c r="I294" i="1"/>
  <c r="K294" i="1" s="1" a="1"/>
  <c r="K294" i="1" s="1"/>
  <c r="H294" i="1"/>
  <c r="G294" i="1"/>
  <c r="J293" i="1" a="1"/>
  <c r="J293" i="1" s="1"/>
  <c r="L293" i="1" s="1" a="1"/>
  <c r="L293" i="1" s="1"/>
  <c r="I293" i="1"/>
  <c r="K293" i="1" s="1" a="1"/>
  <c r="K293" i="1" s="1"/>
  <c r="H293" i="1"/>
  <c r="G293" i="1"/>
  <c r="J292" i="1" a="1"/>
  <c r="J292" i="1" s="1"/>
  <c r="L292" i="1" s="1" a="1"/>
  <c r="L292" i="1" s="1"/>
  <c r="I292" i="1"/>
  <c r="K292" i="1" s="1" a="1"/>
  <c r="K292" i="1" s="1"/>
  <c r="H292" i="1"/>
  <c r="G292" i="1"/>
  <c r="J291" i="1" a="1"/>
  <c r="J291" i="1" s="1"/>
  <c r="L291" i="1" s="1" a="1"/>
  <c r="L291" i="1" s="1"/>
  <c r="I291" i="1"/>
  <c r="K291" i="1" s="1" a="1"/>
  <c r="K291" i="1" s="1"/>
  <c r="H291" i="1"/>
  <c r="G291" i="1"/>
  <c r="J290" i="1" a="1"/>
  <c r="J290" i="1" s="1"/>
  <c r="L290" i="1" s="1" a="1"/>
  <c r="L290" i="1" s="1"/>
  <c r="I290" i="1"/>
  <c r="K290" i="1" s="1" a="1"/>
  <c r="K290" i="1" s="1"/>
  <c r="H290" i="1"/>
  <c r="G290" i="1"/>
  <c r="J289" i="1" a="1"/>
  <c r="J289" i="1" s="1"/>
  <c r="L289" i="1" s="1" a="1"/>
  <c r="L289" i="1" s="1"/>
  <c r="I289" i="1"/>
  <c r="K289" i="1" s="1" a="1"/>
  <c r="K289" i="1" s="1"/>
  <c r="H289" i="1"/>
  <c r="G289" i="1"/>
  <c r="J288" i="1" a="1"/>
  <c r="J288" i="1" s="1"/>
  <c r="L288" i="1" s="1" a="1"/>
  <c r="L288" i="1" s="1"/>
  <c r="I288" i="1"/>
  <c r="K288" i="1" s="1" a="1"/>
  <c r="K288" i="1" s="1"/>
  <c r="H288" i="1"/>
  <c r="G288" i="1"/>
  <c r="J287" i="1" a="1"/>
  <c r="J287" i="1" s="1"/>
  <c r="L287" i="1" s="1" a="1"/>
  <c r="L287" i="1" s="1"/>
  <c r="I287" i="1"/>
  <c r="K287" i="1" s="1" a="1"/>
  <c r="K287" i="1" s="1"/>
  <c r="H287" i="1"/>
  <c r="G287" i="1"/>
  <c r="J286" i="1" a="1"/>
  <c r="J286" i="1" s="1"/>
  <c r="L286" i="1" s="1" a="1"/>
  <c r="L286" i="1" s="1"/>
  <c r="I286" i="1"/>
  <c r="K286" i="1" s="1" a="1"/>
  <c r="K286" i="1" s="1"/>
  <c r="H286" i="1"/>
  <c r="G286" i="1"/>
  <c r="J285" i="1" a="1"/>
  <c r="J285" i="1" s="1"/>
  <c r="L285" i="1" s="1" a="1"/>
  <c r="L285" i="1" s="1"/>
  <c r="I285" i="1"/>
  <c r="K285" i="1" s="1" a="1"/>
  <c r="K285" i="1" s="1"/>
  <c r="H285" i="1"/>
  <c r="G285" i="1"/>
  <c r="J284" i="1" a="1"/>
  <c r="J284" i="1" s="1"/>
  <c r="L284" i="1" s="1" a="1"/>
  <c r="L284" i="1" s="1"/>
  <c r="I284" i="1"/>
  <c r="K284" i="1" s="1" a="1"/>
  <c r="K284" i="1" s="1"/>
  <c r="H284" i="1"/>
  <c r="G284" i="1"/>
  <c r="J283" i="1" a="1"/>
  <c r="J283" i="1" s="1"/>
  <c r="L283" i="1" s="1" a="1"/>
  <c r="L283" i="1" s="1"/>
  <c r="I283" i="1"/>
  <c r="K283" i="1" s="1" a="1"/>
  <c r="K283" i="1" s="1"/>
  <c r="H283" i="1"/>
  <c r="G283" i="1"/>
  <c r="J282" i="1" a="1"/>
  <c r="J282" i="1" s="1"/>
  <c r="L282" i="1" s="1" a="1"/>
  <c r="L282" i="1" s="1"/>
  <c r="I282" i="1"/>
  <c r="K282" i="1" s="1" a="1"/>
  <c r="K282" i="1" s="1"/>
  <c r="H282" i="1"/>
  <c r="G282" i="1"/>
  <c r="J281" i="1" a="1"/>
  <c r="J281" i="1" s="1"/>
  <c r="L281" i="1" s="1" a="1"/>
  <c r="L281" i="1" s="1"/>
  <c r="I281" i="1"/>
  <c r="K281" i="1" s="1" a="1"/>
  <c r="K281" i="1" s="1"/>
  <c r="H281" i="1"/>
  <c r="G281" i="1"/>
  <c r="J280" i="1" a="1"/>
  <c r="J280" i="1" s="1"/>
  <c r="L280" i="1" s="1" a="1"/>
  <c r="L280" i="1" s="1"/>
  <c r="I280" i="1"/>
  <c r="K280" i="1" s="1" a="1"/>
  <c r="K280" i="1" s="1"/>
  <c r="H280" i="1"/>
  <c r="G280" i="1"/>
  <c r="J279" i="1" a="1"/>
  <c r="J279" i="1" s="1"/>
  <c r="L279" i="1" s="1" a="1"/>
  <c r="L279" i="1" s="1"/>
  <c r="I279" i="1"/>
  <c r="K279" i="1" s="1" a="1"/>
  <c r="K279" i="1" s="1"/>
  <c r="H279" i="1"/>
  <c r="G279" i="1"/>
  <c r="J278" i="1" a="1"/>
  <c r="J278" i="1" s="1"/>
  <c r="L278" i="1" s="1" a="1"/>
  <c r="L278" i="1" s="1"/>
  <c r="I278" i="1"/>
  <c r="K278" i="1" s="1" a="1"/>
  <c r="K278" i="1" s="1"/>
  <c r="H278" i="1"/>
  <c r="G278" i="1"/>
  <c r="J277" i="1" a="1"/>
  <c r="J277" i="1" s="1"/>
  <c r="L277" i="1" s="1" a="1"/>
  <c r="L277" i="1" s="1"/>
  <c r="I277" i="1"/>
  <c r="K277" i="1" s="1" a="1"/>
  <c r="K277" i="1" s="1"/>
  <c r="H277" i="1"/>
  <c r="G277" i="1"/>
  <c r="I276" i="1"/>
  <c r="H276" i="1"/>
  <c r="G276" i="1"/>
  <c r="J275" i="1" a="1"/>
  <c r="J275" i="1"/>
  <c r="L275" i="1" s="1" a="1"/>
  <c r="L275" i="1" s="1"/>
  <c r="I275" i="1"/>
  <c r="K275" i="1" s="1" a="1"/>
  <c r="K275" i="1" s="1"/>
  <c r="H275" i="1"/>
  <c r="G275" i="1"/>
  <c r="J274" i="1" a="1"/>
  <c r="J274" i="1"/>
  <c r="L274" i="1" s="1" a="1"/>
  <c r="L274" i="1" s="1"/>
  <c r="I274" i="1"/>
  <c r="K274" i="1" s="1" a="1"/>
  <c r="K274" i="1" s="1"/>
  <c r="H274" i="1"/>
  <c r="G274" i="1"/>
  <c r="J273" i="1" a="1"/>
  <c r="J273" i="1"/>
  <c r="L273" i="1" s="1" a="1"/>
  <c r="L273" i="1" s="1"/>
  <c r="I273" i="1"/>
  <c r="K273" i="1" s="1" a="1"/>
  <c r="K273" i="1" s="1"/>
  <c r="H273" i="1"/>
  <c r="G273" i="1"/>
  <c r="J272" i="1" a="1"/>
  <c r="J272" i="1"/>
  <c r="L272" i="1" s="1" a="1"/>
  <c r="L272" i="1" s="1"/>
  <c r="I272" i="1"/>
  <c r="K272" i="1" s="1" a="1"/>
  <c r="K272" i="1" s="1"/>
  <c r="H272" i="1"/>
  <c r="G272" i="1"/>
  <c r="J271" i="1" a="1"/>
  <c r="J271" i="1"/>
  <c r="L271" i="1" s="1" a="1"/>
  <c r="L271" i="1" s="1"/>
  <c r="I271" i="1"/>
  <c r="K271" i="1" s="1" a="1"/>
  <c r="K271" i="1" s="1"/>
  <c r="H271" i="1"/>
  <c r="G271" i="1"/>
  <c r="J270" i="1" a="1"/>
  <c r="J270" i="1"/>
  <c r="L270" i="1" s="1" a="1"/>
  <c r="L270" i="1" s="1"/>
  <c r="I270" i="1"/>
  <c r="K270" i="1" s="1" a="1"/>
  <c r="K270" i="1" s="1"/>
  <c r="H270" i="1"/>
  <c r="G270" i="1"/>
  <c r="J269" i="1" a="1"/>
  <c r="J269" i="1"/>
  <c r="L269" i="1" s="1" a="1"/>
  <c r="L269" i="1" s="1"/>
  <c r="I269" i="1"/>
  <c r="K269" i="1" s="1" a="1"/>
  <c r="K269" i="1" s="1"/>
  <c r="H269" i="1"/>
  <c r="G269" i="1"/>
  <c r="J268" i="1" a="1"/>
  <c r="J268" i="1"/>
  <c r="L268" i="1" s="1" a="1"/>
  <c r="L268" i="1" s="1"/>
  <c r="I268" i="1"/>
  <c r="K268" i="1" s="1" a="1"/>
  <c r="K268" i="1" s="1"/>
  <c r="H268" i="1"/>
  <c r="G268" i="1"/>
  <c r="J267" i="1" a="1"/>
  <c r="J267" i="1"/>
  <c r="L267" i="1" s="1" a="1"/>
  <c r="L267" i="1" s="1"/>
  <c r="I267" i="1"/>
  <c r="K267" i="1" s="1" a="1"/>
  <c r="K267" i="1" s="1"/>
  <c r="H267" i="1"/>
  <c r="G267" i="1"/>
  <c r="J266" i="1" a="1"/>
  <c r="J266" i="1"/>
  <c r="L266" i="1" s="1" a="1"/>
  <c r="L266" i="1" s="1"/>
  <c r="I266" i="1"/>
  <c r="K266" i="1" s="1" a="1"/>
  <c r="K266" i="1" s="1"/>
  <c r="H266" i="1"/>
  <c r="G266" i="1"/>
  <c r="J265" i="1" a="1"/>
  <c r="J265" i="1"/>
  <c r="L265" i="1" s="1" a="1"/>
  <c r="L265" i="1" s="1"/>
  <c r="I265" i="1"/>
  <c r="K265" i="1" s="1" a="1"/>
  <c r="K265" i="1" s="1"/>
  <c r="H265" i="1"/>
  <c r="G265" i="1"/>
  <c r="J264" i="1" a="1"/>
  <c r="J264" i="1"/>
  <c r="L264" i="1" s="1" a="1"/>
  <c r="L264" i="1" s="1"/>
  <c r="I264" i="1"/>
  <c r="K264" i="1" s="1" a="1"/>
  <c r="K264" i="1" s="1"/>
  <c r="H264" i="1"/>
  <c r="G264" i="1"/>
  <c r="J263" i="1" a="1"/>
  <c r="J263" i="1"/>
  <c r="L263" i="1" s="1" a="1"/>
  <c r="L263" i="1" s="1"/>
  <c r="I263" i="1"/>
  <c r="K263" i="1" s="1" a="1"/>
  <c r="K263" i="1" s="1"/>
  <c r="H263" i="1"/>
  <c r="G263" i="1"/>
  <c r="J262" i="1" a="1"/>
  <c r="J262" i="1"/>
  <c r="L262" i="1" s="1" a="1"/>
  <c r="L262" i="1" s="1"/>
  <c r="I262" i="1"/>
  <c r="K262" i="1" s="1" a="1"/>
  <c r="K262" i="1" s="1"/>
  <c r="H262" i="1"/>
  <c r="G262" i="1"/>
  <c r="J261" i="1" a="1"/>
  <c r="J261" i="1"/>
  <c r="L261" i="1" s="1" a="1"/>
  <c r="L261" i="1" s="1"/>
  <c r="I261" i="1"/>
  <c r="K261" i="1" s="1" a="1"/>
  <c r="K261" i="1" s="1"/>
  <c r="H261" i="1"/>
  <c r="G261" i="1"/>
  <c r="J260" i="1" a="1"/>
  <c r="J260" i="1"/>
  <c r="L260" i="1" s="1" a="1"/>
  <c r="L260" i="1" s="1"/>
  <c r="I260" i="1"/>
  <c r="K260" i="1" s="1" a="1"/>
  <c r="K260" i="1" s="1"/>
  <c r="H260" i="1"/>
  <c r="G260" i="1"/>
  <c r="J259" i="1" a="1"/>
  <c r="J259" i="1"/>
  <c r="L259" i="1" s="1" a="1"/>
  <c r="L259" i="1" s="1"/>
  <c r="I259" i="1"/>
  <c r="K259" i="1" s="1" a="1"/>
  <c r="K259" i="1" s="1"/>
  <c r="H259" i="1"/>
  <c r="G259" i="1"/>
  <c r="J258" i="1" a="1"/>
  <c r="J258" i="1"/>
  <c r="L258" i="1" s="1" a="1"/>
  <c r="L258" i="1" s="1"/>
  <c r="I258" i="1"/>
  <c r="K258" i="1" s="1" a="1"/>
  <c r="K258" i="1" s="1"/>
  <c r="H258" i="1"/>
  <c r="G258" i="1"/>
  <c r="J257" i="1" a="1"/>
  <c r="J257" i="1"/>
  <c r="L257" i="1" s="1" a="1"/>
  <c r="L257" i="1" s="1"/>
  <c r="I257" i="1"/>
  <c r="K257" i="1" s="1" a="1"/>
  <c r="K257" i="1" s="1"/>
  <c r="H257" i="1"/>
  <c r="G257" i="1"/>
  <c r="J256" i="1" a="1"/>
  <c r="J256" i="1"/>
  <c r="L256" i="1" s="1" a="1"/>
  <c r="L256" i="1" s="1"/>
  <c r="I256" i="1"/>
  <c r="K256" i="1" s="1" a="1"/>
  <c r="K256" i="1" s="1"/>
  <c r="H256" i="1"/>
  <c r="G256" i="1"/>
  <c r="J255" i="1" a="1"/>
  <c r="J255" i="1"/>
  <c r="L255" i="1" s="1" a="1"/>
  <c r="L255" i="1" s="1"/>
  <c r="I255" i="1"/>
  <c r="K255" i="1" s="1" a="1"/>
  <c r="K255" i="1" s="1"/>
  <c r="H255" i="1"/>
  <c r="G255" i="1"/>
  <c r="J254" i="1" a="1"/>
  <c r="J254" i="1"/>
  <c r="L254" i="1" s="1" a="1"/>
  <c r="L254" i="1" s="1"/>
  <c r="I254" i="1"/>
  <c r="K254" i="1" s="1" a="1"/>
  <c r="K254" i="1" s="1"/>
  <c r="H254" i="1"/>
  <c r="G254" i="1"/>
  <c r="J253" i="1" a="1"/>
  <c r="J253" i="1"/>
  <c r="L253" i="1" s="1" a="1"/>
  <c r="L253" i="1" s="1"/>
  <c r="I253" i="1"/>
  <c r="K253" i="1" s="1" a="1"/>
  <c r="K253" i="1" s="1"/>
  <c r="H253" i="1"/>
  <c r="G253" i="1"/>
  <c r="J252" i="1" a="1"/>
  <c r="J252" i="1"/>
  <c r="L252" i="1" s="1" a="1"/>
  <c r="L252" i="1" s="1"/>
  <c r="I252" i="1"/>
  <c r="K252" i="1" s="1" a="1"/>
  <c r="K252" i="1" s="1"/>
  <c r="H252" i="1"/>
  <c r="G252" i="1"/>
  <c r="J251" i="1" a="1"/>
  <c r="J251" i="1"/>
  <c r="L251" i="1" s="1" a="1"/>
  <c r="L251" i="1" s="1"/>
  <c r="I251" i="1"/>
  <c r="K251" i="1" s="1" a="1"/>
  <c r="K251" i="1" s="1"/>
  <c r="H251" i="1"/>
  <c r="G251" i="1"/>
  <c r="J250" i="1" a="1"/>
  <c r="J250" i="1"/>
  <c r="L250" i="1" s="1" a="1"/>
  <c r="L250" i="1" s="1"/>
  <c r="I250" i="1"/>
  <c r="K250" i="1" s="1" a="1"/>
  <c r="K250" i="1" s="1"/>
  <c r="H250" i="1"/>
  <c r="G250" i="1"/>
  <c r="J249" i="1" a="1"/>
  <c r="J249" i="1"/>
  <c r="L249" i="1" s="1" a="1"/>
  <c r="L249" i="1" s="1"/>
  <c r="I249" i="1"/>
  <c r="K249" i="1" s="1" a="1"/>
  <c r="K249" i="1" s="1"/>
  <c r="H249" i="1"/>
  <c r="G249" i="1"/>
  <c r="J248" i="1" a="1"/>
  <c r="J248" i="1"/>
  <c r="L248" i="1" s="1" a="1"/>
  <c r="L248" i="1" s="1"/>
  <c r="I248" i="1"/>
  <c r="K248" i="1" s="1" a="1"/>
  <c r="K248" i="1" s="1"/>
  <c r="H248" i="1"/>
  <c r="G248" i="1"/>
  <c r="J247" i="1" a="1"/>
  <c r="J247" i="1"/>
  <c r="L247" i="1" s="1" a="1"/>
  <c r="L247" i="1" s="1"/>
  <c r="I247" i="1"/>
  <c r="K247" i="1" s="1" a="1"/>
  <c r="K247" i="1" s="1"/>
  <c r="H247" i="1"/>
  <c r="G247" i="1"/>
  <c r="J246" i="1" a="1"/>
  <c r="J246" i="1"/>
  <c r="L246" i="1" s="1" a="1"/>
  <c r="L246" i="1" s="1"/>
  <c r="I246" i="1"/>
  <c r="K246" i="1" s="1" a="1"/>
  <c r="K246" i="1" s="1"/>
  <c r="H246" i="1"/>
  <c r="G246" i="1"/>
  <c r="J245" i="1" a="1"/>
  <c r="J245" i="1"/>
  <c r="L245" i="1" s="1" a="1"/>
  <c r="L245" i="1" s="1"/>
  <c r="I245" i="1"/>
  <c r="K245" i="1" s="1" a="1"/>
  <c r="K245" i="1" s="1"/>
  <c r="H245" i="1"/>
  <c r="G245" i="1"/>
  <c r="J244" i="1" a="1"/>
  <c r="J244" i="1"/>
  <c r="L244" i="1" s="1" a="1"/>
  <c r="L244" i="1" s="1"/>
  <c r="I244" i="1"/>
  <c r="K244" i="1" s="1" a="1"/>
  <c r="K244" i="1" s="1"/>
  <c r="H244" i="1"/>
  <c r="G244" i="1"/>
  <c r="J243" i="1" a="1"/>
  <c r="J243" i="1"/>
  <c r="L243" i="1" s="1" a="1"/>
  <c r="L243" i="1" s="1"/>
  <c r="I243" i="1"/>
  <c r="K243" i="1" s="1" a="1"/>
  <c r="K243" i="1" s="1"/>
  <c r="H243" i="1"/>
  <c r="G243" i="1"/>
  <c r="J242" i="1" a="1"/>
  <c r="J242" i="1"/>
  <c r="L242" i="1" s="1" a="1"/>
  <c r="L242" i="1" s="1"/>
  <c r="I242" i="1"/>
  <c r="K242" i="1" s="1" a="1"/>
  <c r="K242" i="1" s="1"/>
  <c r="H242" i="1"/>
  <c r="G242" i="1"/>
  <c r="J241" i="1" a="1"/>
  <c r="J241" i="1"/>
  <c r="L241" i="1" s="1" a="1"/>
  <c r="L241" i="1" s="1"/>
  <c r="I241" i="1"/>
  <c r="K241" i="1" s="1" a="1"/>
  <c r="K241" i="1" s="1"/>
  <c r="H241" i="1"/>
  <c r="G241" i="1"/>
  <c r="J240" i="1" a="1"/>
  <c r="J240" i="1"/>
  <c r="L240" i="1" s="1" a="1"/>
  <c r="L240" i="1" s="1"/>
  <c r="I240" i="1"/>
  <c r="K240" i="1" s="1" a="1"/>
  <c r="K240" i="1" s="1"/>
  <c r="H240" i="1"/>
  <c r="G240" i="1"/>
  <c r="J239" i="1" a="1"/>
  <c r="J239" i="1"/>
  <c r="L239" i="1" s="1" a="1"/>
  <c r="L239" i="1" s="1"/>
  <c r="I239" i="1"/>
  <c r="K239" i="1" s="1" a="1"/>
  <c r="K239" i="1" s="1"/>
  <c r="H239" i="1"/>
  <c r="G239" i="1"/>
  <c r="J238" i="1" a="1"/>
  <c r="J238" i="1"/>
  <c r="L238" i="1" s="1" a="1"/>
  <c r="L238" i="1" s="1"/>
  <c r="I238" i="1"/>
  <c r="K238" i="1" s="1" a="1"/>
  <c r="K238" i="1" s="1"/>
  <c r="H238" i="1"/>
  <c r="G238" i="1"/>
  <c r="J237" i="1" a="1"/>
  <c r="J237" i="1"/>
  <c r="L237" i="1" s="1" a="1"/>
  <c r="L237" i="1" s="1"/>
  <c r="I237" i="1"/>
  <c r="K237" i="1" s="1" a="1"/>
  <c r="K237" i="1" s="1"/>
  <c r="H237" i="1"/>
  <c r="G237" i="1"/>
  <c r="J236" i="1" a="1"/>
  <c r="J236" i="1"/>
  <c r="L236" i="1" s="1" a="1"/>
  <c r="L236" i="1" s="1"/>
  <c r="I236" i="1"/>
  <c r="K236" i="1" s="1" a="1"/>
  <c r="K236" i="1" s="1"/>
  <c r="H236" i="1"/>
  <c r="G236" i="1"/>
  <c r="J235" i="1" a="1"/>
  <c r="J235" i="1"/>
  <c r="L235" i="1" s="1" a="1"/>
  <c r="L235" i="1" s="1"/>
  <c r="I235" i="1"/>
  <c r="K235" i="1" s="1" a="1"/>
  <c r="K235" i="1" s="1"/>
  <c r="H235" i="1"/>
  <c r="G235" i="1"/>
  <c r="J234" i="1" a="1"/>
  <c r="J234" i="1"/>
  <c r="L234" i="1" s="1" a="1"/>
  <c r="L234" i="1" s="1"/>
  <c r="I234" i="1"/>
  <c r="K234" i="1" s="1" a="1"/>
  <c r="K234" i="1" s="1"/>
  <c r="H234" i="1"/>
  <c r="G234" i="1"/>
  <c r="J233" i="1" a="1"/>
  <c r="J233" i="1"/>
  <c r="L233" i="1" s="1" a="1"/>
  <c r="L233" i="1" s="1"/>
  <c r="I233" i="1"/>
  <c r="K233" i="1" s="1" a="1"/>
  <c r="K233" i="1" s="1"/>
  <c r="H233" i="1"/>
  <c r="G233" i="1"/>
  <c r="J232" i="1" a="1"/>
  <c r="J232" i="1"/>
  <c r="L232" i="1" s="1" a="1"/>
  <c r="L232" i="1" s="1"/>
  <c r="I232" i="1"/>
  <c r="K232" i="1" s="1" a="1"/>
  <c r="K232" i="1" s="1"/>
  <c r="H232" i="1"/>
  <c r="G232" i="1"/>
  <c r="J231" i="1" a="1"/>
  <c r="J231" i="1"/>
  <c r="L231" i="1" s="1" a="1"/>
  <c r="L231" i="1" s="1"/>
  <c r="I231" i="1"/>
  <c r="K231" i="1" s="1" a="1"/>
  <c r="K231" i="1" s="1"/>
  <c r="H231" i="1"/>
  <c r="G231" i="1"/>
  <c r="J230" i="1" a="1"/>
  <c r="J230" i="1"/>
  <c r="L230" i="1" s="1" a="1"/>
  <c r="L230" i="1" s="1"/>
  <c r="I230" i="1"/>
  <c r="K230" i="1" s="1" a="1"/>
  <c r="K230" i="1" s="1"/>
  <c r="H230" i="1"/>
  <c r="G230" i="1"/>
  <c r="J229" i="1" a="1"/>
  <c r="J229" i="1"/>
  <c r="L229" i="1" s="1" a="1"/>
  <c r="L229" i="1" s="1"/>
  <c r="I229" i="1"/>
  <c r="K229" i="1" s="1" a="1"/>
  <c r="K229" i="1" s="1"/>
  <c r="H229" i="1"/>
  <c r="G229" i="1"/>
  <c r="J228" i="1" a="1"/>
  <c r="J228" i="1"/>
  <c r="L228" i="1" s="1" a="1"/>
  <c r="L228" i="1" s="1"/>
  <c r="I228" i="1"/>
  <c r="K228" i="1" s="1" a="1"/>
  <c r="K228" i="1" s="1"/>
  <c r="H228" i="1"/>
  <c r="G228" i="1"/>
  <c r="J227" i="1" a="1"/>
  <c r="J227" i="1"/>
  <c r="L227" i="1" s="1" a="1"/>
  <c r="L227" i="1" s="1"/>
  <c r="I227" i="1"/>
  <c r="K227" i="1" s="1" a="1"/>
  <c r="K227" i="1" s="1"/>
  <c r="H227" i="1"/>
  <c r="G227" i="1"/>
  <c r="J226" i="1" a="1"/>
  <c r="J226" i="1"/>
  <c r="L226" i="1" s="1" a="1"/>
  <c r="L226" i="1" s="1"/>
  <c r="I226" i="1"/>
  <c r="K226" i="1" s="1" a="1"/>
  <c r="K226" i="1" s="1"/>
  <c r="H226" i="1"/>
  <c r="G226" i="1"/>
  <c r="J225" i="1" a="1"/>
  <c r="J225" i="1"/>
  <c r="L225" i="1" s="1" a="1"/>
  <c r="L225" i="1" s="1"/>
  <c r="I225" i="1"/>
  <c r="K225" i="1" s="1" a="1"/>
  <c r="K225" i="1" s="1"/>
  <c r="H225" i="1"/>
  <c r="G225" i="1"/>
  <c r="J224" i="1" a="1"/>
  <c r="J224" i="1"/>
  <c r="L224" i="1" s="1" a="1"/>
  <c r="L224" i="1" s="1"/>
  <c r="I224" i="1"/>
  <c r="K224" i="1" s="1" a="1"/>
  <c r="K224" i="1" s="1"/>
  <c r="H224" i="1"/>
  <c r="G224" i="1"/>
  <c r="J223" i="1" a="1"/>
  <c r="J223" i="1"/>
  <c r="L223" i="1" s="1" a="1"/>
  <c r="L223" i="1" s="1"/>
  <c r="I223" i="1"/>
  <c r="K223" i="1" s="1" a="1"/>
  <c r="K223" i="1" s="1"/>
  <c r="H223" i="1"/>
  <c r="G223" i="1"/>
  <c r="J222" i="1" a="1"/>
  <c r="J222" i="1"/>
  <c r="L222" i="1" s="1" a="1"/>
  <c r="L222" i="1" s="1"/>
  <c r="I222" i="1"/>
  <c r="K222" i="1" s="1" a="1"/>
  <c r="K222" i="1" s="1"/>
  <c r="H222" i="1"/>
  <c r="G222" i="1"/>
  <c r="J221" i="1" a="1"/>
  <c r="J221" i="1"/>
  <c r="L221" i="1" s="1" a="1"/>
  <c r="L221" i="1" s="1"/>
  <c r="I221" i="1"/>
  <c r="K221" i="1" s="1" a="1"/>
  <c r="K221" i="1" s="1"/>
  <c r="H221" i="1"/>
  <c r="G221" i="1"/>
  <c r="J220" i="1" a="1"/>
  <c r="J220" i="1"/>
  <c r="L220" i="1" s="1" a="1"/>
  <c r="L220" i="1" s="1"/>
  <c r="I220" i="1"/>
  <c r="K220" i="1" s="1" a="1"/>
  <c r="K220" i="1" s="1"/>
  <c r="H220" i="1"/>
  <c r="G220" i="1"/>
  <c r="J219" i="1" a="1"/>
  <c r="J219" i="1"/>
  <c r="L219" i="1" s="1" a="1"/>
  <c r="L219" i="1" s="1"/>
  <c r="I219" i="1"/>
  <c r="K219" i="1" s="1" a="1"/>
  <c r="K219" i="1" s="1"/>
  <c r="H219" i="1"/>
  <c r="G219" i="1"/>
  <c r="J218" i="1" a="1"/>
  <c r="J218" i="1"/>
  <c r="L218" i="1" s="1" a="1"/>
  <c r="L218" i="1" s="1"/>
  <c r="I218" i="1"/>
  <c r="K218" i="1" s="1" a="1"/>
  <c r="K218" i="1" s="1"/>
  <c r="H218" i="1"/>
  <c r="G218" i="1"/>
  <c r="J217" i="1" a="1"/>
  <c r="J217" i="1"/>
  <c r="L217" i="1" s="1" a="1"/>
  <c r="L217" i="1" s="1"/>
  <c r="I217" i="1"/>
  <c r="K217" i="1" s="1" a="1"/>
  <c r="K217" i="1" s="1"/>
  <c r="H217" i="1"/>
  <c r="G217" i="1"/>
  <c r="J216" i="1" a="1"/>
  <c r="J216" i="1"/>
  <c r="L216" i="1" s="1" a="1"/>
  <c r="L216" i="1" s="1"/>
  <c r="I216" i="1"/>
  <c r="K216" i="1" s="1" a="1"/>
  <c r="K216" i="1" s="1"/>
  <c r="H216" i="1"/>
  <c r="G216" i="1"/>
  <c r="J215" i="1" a="1"/>
  <c r="J215" i="1"/>
  <c r="L215" i="1" s="1" a="1"/>
  <c r="L215" i="1" s="1"/>
  <c r="I215" i="1"/>
  <c r="K215" i="1" s="1" a="1"/>
  <c r="K215" i="1" s="1"/>
  <c r="H215" i="1"/>
  <c r="G215" i="1"/>
  <c r="J214" i="1" a="1"/>
  <c r="J214" i="1"/>
  <c r="L214" i="1" s="1" a="1"/>
  <c r="L214" i="1" s="1"/>
  <c r="I214" i="1"/>
  <c r="K214" i="1" s="1" a="1"/>
  <c r="K214" i="1" s="1"/>
  <c r="H214" i="1"/>
  <c r="G214" i="1"/>
  <c r="I213" i="1"/>
  <c r="H213" i="1"/>
  <c r="G213" i="1"/>
  <c r="J212" i="1" a="1"/>
  <c r="J212" i="1" s="1"/>
  <c r="L212" i="1" s="1" a="1"/>
  <c r="L212" i="1" s="1"/>
  <c r="I212" i="1"/>
  <c r="K212" i="1" s="1" a="1"/>
  <c r="K212" i="1" s="1"/>
  <c r="H212" i="1"/>
  <c r="G212" i="1"/>
  <c r="J211" i="1" a="1"/>
  <c r="J211" i="1"/>
  <c r="L211" i="1" s="1" a="1"/>
  <c r="L211" i="1" s="1"/>
  <c r="I211" i="1"/>
  <c r="K211" i="1" s="1" a="1"/>
  <c r="K211" i="1" s="1"/>
  <c r="H211" i="1"/>
  <c r="G211" i="1"/>
  <c r="J210" i="1" a="1"/>
  <c r="J210" i="1"/>
  <c r="L210" i="1" s="1" a="1"/>
  <c r="L210" i="1" s="1"/>
  <c r="I210" i="1"/>
  <c r="K210" i="1" s="1" a="1"/>
  <c r="K210" i="1" s="1"/>
  <c r="H210" i="1"/>
  <c r="G210" i="1"/>
  <c r="J209" i="1" a="1"/>
  <c r="J209" i="1"/>
  <c r="L209" i="1" s="1" a="1"/>
  <c r="L209" i="1" s="1"/>
  <c r="I209" i="1"/>
  <c r="K209" i="1" s="1" a="1"/>
  <c r="K209" i="1" s="1"/>
  <c r="H209" i="1"/>
  <c r="G209" i="1"/>
  <c r="J208" i="1" a="1"/>
  <c r="J208" i="1"/>
  <c r="L208" i="1" s="1" a="1"/>
  <c r="L208" i="1" s="1"/>
  <c r="I208" i="1"/>
  <c r="K208" i="1" s="1" a="1"/>
  <c r="K208" i="1" s="1"/>
  <c r="H208" i="1"/>
  <c r="G208" i="1"/>
  <c r="J207" i="1" a="1"/>
  <c r="J207" i="1"/>
  <c r="L207" i="1" s="1" a="1"/>
  <c r="L207" i="1" s="1"/>
  <c r="I207" i="1"/>
  <c r="K207" i="1" s="1" a="1"/>
  <c r="K207" i="1" s="1"/>
  <c r="H207" i="1"/>
  <c r="G207" i="1"/>
  <c r="J206" i="1" a="1"/>
  <c r="J206" i="1"/>
  <c r="L206" i="1" s="1" a="1"/>
  <c r="L206" i="1" s="1"/>
  <c r="I206" i="1"/>
  <c r="K206" i="1" s="1" a="1"/>
  <c r="K206" i="1" s="1"/>
  <c r="H206" i="1"/>
  <c r="G206" i="1"/>
  <c r="J205" i="1" a="1"/>
  <c r="J205" i="1"/>
  <c r="L205" i="1" s="1" a="1"/>
  <c r="L205" i="1" s="1"/>
  <c r="I205" i="1"/>
  <c r="K205" i="1" s="1" a="1"/>
  <c r="K205" i="1" s="1"/>
  <c r="H205" i="1"/>
  <c r="G205" i="1"/>
  <c r="J204" i="1" a="1"/>
  <c r="J204" i="1"/>
  <c r="L204" i="1" s="1" a="1"/>
  <c r="L204" i="1" s="1"/>
  <c r="I204" i="1"/>
  <c r="K204" i="1" s="1" a="1"/>
  <c r="K204" i="1" s="1"/>
  <c r="H204" i="1"/>
  <c r="G204" i="1"/>
  <c r="J203" i="1" a="1"/>
  <c r="J203" i="1"/>
  <c r="L203" i="1" s="1" a="1"/>
  <c r="L203" i="1" s="1"/>
  <c r="I203" i="1"/>
  <c r="K203" i="1" s="1" a="1"/>
  <c r="K203" i="1" s="1"/>
  <c r="H203" i="1"/>
  <c r="G203" i="1"/>
  <c r="J202" i="1" a="1"/>
  <c r="J202" i="1"/>
  <c r="L202" i="1" s="1" a="1"/>
  <c r="L202" i="1" s="1"/>
  <c r="I202" i="1"/>
  <c r="K202" i="1" s="1" a="1"/>
  <c r="K202" i="1" s="1"/>
  <c r="H202" i="1"/>
  <c r="G202" i="1"/>
  <c r="J201" i="1" a="1"/>
  <c r="J201" i="1"/>
  <c r="L201" i="1" s="1" a="1"/>
  <c r="L201" i="1" s="1"/>
  <c r="I201" i="1"/>
  <c r="K201" i="1" s="1" a="1"/>
  <c r="K201" i="1" s="1"/>
  <c r="H201" i="1"/>
  <c r="G201" i="1"/>
  <c r="J200" i="1" a="1"/>
  <c r="J200" i="1"/>
  <c r="L200" i="1" s="1" a="1"/>
  <c r="L200" i="1" s="1"/>
  <c r="I200" i="1"/>
  <c r="K200" i="1" s="1" a="1"/>
  <c r="K200" i="1" s="1"/>
  <c r="H200" i="1"/>
  <c r="G200" i="1"/>
  <c r="J199" i="1" a="1"/>
  <c r="J199" i="1"/>
  <c r="L199" i="1" s="1" a="1"/>
  <c r="L199" i="1" s="1"/>
  <c r="I199" i="1"/>
  <c r="K199" i="1" s="1" a="1"/>
  <c r="K199" i="1" s="1"/>
  <c r="H199" i="1"/>
  <c r="G199" i="1"/>
  <c r="J198" i="1" a="1"/>
  <c r="J198" i="1"/>
  <c r="L198" i="1" s="1" a="1"/>
  <c r="L198" i="1" s="1"/>
  <c r="I198" i="1"/>
  <c r="K198" i="1" s="1" a="1"/>
  <c r="K198" i="1" s="1"/>
  <c r="H198" i="1"/>
  <c r="G198" i="1"/>
  <c r="J197" i="1" a="1"/>
  <c r="J197" i="1"/>
  <c r="L197" i="1" s="1" a="1"/>
  <c r="L197" i="1" s="1"/>
  <c r="I197" i="1"/>
  <c r="K197" i="1" s="1" a="1"/>
  <c r="K197" i="1" s="1"/>
  <c r="H197" i="1"/>
  <c r="G197" i="1"/>
  <c r="J196" i="1" a="1"/>
  <c r="J196" i="1"/>
  <c r="L196" i="1" s="1" a="1"/>
  <c r="L196" i="1" s="1"/>
  <c r="I196" i="1"/>
  <c r="K196" i="1" s="1" a="1"/>
  <c r="K196" i="1" s="1"/>
  <c r="H196" i="1"/>
  <c r="G196" i="1"/>
  <c r="J195" i="1" a="1"/>
  <c r="J195" i="1" s="1"/>
  <c r="L195" i="1" s="1" a="1"/>
  <c r="L195" i="1" s="1"/>
  <c r="I195" i="1"/>
  <c r="K195" i="1" s="1" a="1"/>
  <c r="K195" i="1" s="1"/>
  <c r="H195" i="1"/>
  <c r="G195" i="1"/>
  <c r="J194" i="1" a="1"/>
  <c r="J194" i="1" s="1"/>
  <c r="L194" i="1" s="1" a="1"/>
  <c r="L194" i="1" s="1"/>
  <c r="I194" i="1"/>
  <c r="K194" i="1" s="1" a="1"/>
  <c r="K194" i="1" s="1"/>
  <c r="H194" i="1"/>
  <c r="G194" i="1"/>
  <c r="J193" i="1" a="1"/>
  <c r="J193" i="1" s="1"/>
  <c r="L193" i="1" s="1" a="1"/>
  <c r="L193" i="1" s="1"/>
  <c r="I193" i="1"/>
  <c r="K193" i="1" s="1" a="1"/>
  <c r="K193" i="1" s="1"/>
  <c r="H193" i="1"/>
  <c r="G193" i="1"/>
  <c r="J192" i="1" a="1"/>
  <c r="J192" i="1" s="1"/>
  <c r="L192" i="1" s="1" a="1"/>
  <c r="L192" i="1" s="1"/>
  <c r="I192" i="1"/>
  <c r="K192" i="1" s="1" a="1"/>
  <c r="K192" i="1" s="1"/>
  <c r="H192" i="1"/>
  <c r="G192" i="1"/>
  <c r="J191" i="1" a="1"/>
  <c r="J191" i="1" s="1"/>
  <c r="L191" i="1" s="1" a="1"/>
  <c r="L191" i="1" s="1"/>
  <c r="I191" i="1"/>
  <c r="K191" i="1" s="1" a="1"/>
  <c r="K191" i="1" s="1"/>
  <c r="H191" i="1"/>
  <c r="G191" i="1"/>
  <c r="J190" i="1" a="1"/>
  <c r="J190" i="1" s="1"/>
  <c r="L190" i="1" s="1" a="1"/>
  <c r="L190" i="1" s="1"/>
  <c r="I190" i="1"/>
  <c r="K190" i="1" s="1" a="1"/>
  <c r="K190" i="1" s="1"/>
  <c r="H190" i="1"/>
  <c r="G190" i="1"/>
  <c r="J189" i="1" a="1"/>
  <c r="J189" i="1" s="1"/>
  <c r="L189" i="1" s="1" a="1"/>
  <c r="L189" i="1" s="1"/>
  <c r="I189" i="1"/>
  <c r="K189" i="1" s="1" a="1"/>
  <c r="K189" i="1" s="1"/>
  <c r="H189" i="1"/>
  <c r="G189" i="1"/>
  <c r="J188" i="1" a="1"/>
  <c r="J188" i="1" s="1"/>
  <c r="L188" i="1" s="1" a="1"/>
  <c r="L188" i="1" s="1"/>
  <c r="I188" i="1"/>
  <c r="K188" i="1" s="1" a="1"/>
  <c r="K188" i="1" s="1"/>
  <c r="H188" i="1"/>
  <c r="G188" i="1"/>
  <c r="J187" i="1" a="1"/>
  <c r="J187" i="1" s="1"/>
  <c r="L187" i="1" s="1" a="1"/>
  <c r="L187" i="1" s="1"/>
  <c r="I187" i="1"/>
  <c r="K187" i="1" s="1" a="1"/>
  <c r="K187" i="1" s="1"/>
  <c r="H187" i="1"/>
  <c r="G187" i="1"/>
  <c r="J186" i="1" a="1"/>
  <c r="J186" i="1" s="1"/>
  <c r="L186" i="1" s="1" a="1"/>
  <c r="L186" i="1" s="1"/>
  <c r="I186" i="1"/>
  <c r="K186" i="1" s="1" a="1"/>
  <c r="K186" i="1" s="1"/>
  <c r="H186" i="1"/>
  <c r="G186" i="1"/>
  <c r="J185" i="1" a="1"/>
  <c r="J185" i="1" s="1"/>
  <c r="L185" i="1" s="1" a="1"/>
  <c r="L185" i="1" s="1"/>
  <c r="I185" i="1"/>
  <c r="K185" i="1" s="1" a="1"/>
  <c r="K185" i="1" s="1"/>
  <c r="H185" i="1"/>
  <c r="G185" i="1"/>
  <c r="J184" i="1" a="1"/>
  <c r="J184" i="1" s="1"/>
  <c r="L184" i="1" s="1" a="1"/>
  <c r="L184" i="1" s="1"/>
  <c r="I184" i="1"/>
  <c r="K184" i="1" s="1" a="1"/>
  <c r="K184" i="1" s="1"/>
  <c r="H184" i="1"/>
  <c r="G184" i="1"/>
  <c r="J183" i="1" a="1"/>
  <c r="J183" i="1" s="1"/>
  <c r="L183" i="1" s="1" a="1"/>
  <c r="L183" i="1" s="1"/>
  <c r="I183" i="1"/>
  <c r="K183" i="1" s="1" a="1"/>
  <c r="K183" i="1" s="1"/>
  <c r="H183" i="1"/>
  <c r="G183" i="1"/>
  <c r="J182" i="1" a="1"/>
  <c r="J182" i="1" s="1"/>
  <c r="L182" i="1" s="1" a="1"/>
  <c r="L182" i="1" s="1"/>
  <c r="I182" i="1"/>
  <c r="K182" i="1" s="1" a="1"/>
  <c r="K182" i="1" s="1"/>
  <c r="H182" i="1"/>
  <c r="G182" i="1"/>
  <c r="J181" i="1" a="1"/>
  <c r="J181" i="1" s="1"/>
  <c r="L181" i="1" s="1" a="1"/>
  <c r="L181" i="1" s="1"/>
  <c r="I181" i="1"/>
  <c r="K181" i="1" s="1" a="1"/>
  <c r="K181" i="1" s="1"/>
  <c r="H181" i="1"/>
  <c r="G181" i="1"/>
  <c r="J180" i="1" a="1"/>
  <c r="J180" i="1" s="1"/>
  <c r="L180" i="1" s="1" a="1"/>
  <c r="L180" i="1" s="1"/>
  <c r="I180" i="1"/>
  <c r="K180" i="1" s="1" a="1"/>
  <c r="K180" i="1" s="1"/>
  <c r="H180" i="1"/>
  <c r="G180" i="1"/>
  <c r="J179" i="1" a="1"/>
  <c r="J179" i="1" s="1"/>
  <c r="L179" i="1" s="1" a="1"/>
  <c r="L179" i="1" s="1"/>
  <c r="I179" i="1"/>
  <c r="K179" i="1" s="1" a="1"/>
  <c r="K179" i="1" s="1"/>
  <c r="H179" i="1"/>
  <c r="G179" i="1"/>
  <c r="J178" i="1" a="1"/>
  <c r="J178" i="1" s="1"/>
  <c r="L178" i="1" s="1" a="1"/>
  <c r="L178" i="1" s="1"/>
  <c r="I178" i="1"/>
  <c r="K178" i="1" s="1" a="1"/>
  <c r="K178" i="1" s="1"/>
  <c r="H178" i="1"/>
  <c r="G178" i="1"/>
  <c r="J177" i="1" a="1"/>
  <c r="J177" i="1" s="1"/>
  <c r="L177" i="1" s="1" a="1"/>
  <c r="L177" i="1" s="1"/>
  <c r="I177" i="1"/>
  <c r="K177" i="1" s="1" a="1"/>
  <c r="K177" i="1" s="1"/>
  <c r="H177" i="1"/>
  <c r="G177" i="1"/>
  <c r="J176" i="1" a="1"/>
  <c r="J176" i="1" s="1"/>
  <c r="L176" i="1" s="1" a="1"/>
  <c r="L176" i="1" s="1"/>
  <c r="I176" i="1"/>
  <c r="K176" i="1" s="1" a="1"/>
  <c r="K176" i="1" s="1"/>
  <c r="H176" i="1"/>
  <c r="G176" i="1"/>
  <c r="J175" i="1" a="1"/>
  <c r="J175" i="1" s="1"/>
  <c r="L175" i="1" s="1" a="1"/>
  <c r="L175" i="1" s="1"/>
  <c r="I175" i="1"/>
  <c r="K175" i="1" s="1" a="1"/>
  <c r="K175" i="1" s="1"/>
  <c r="H175" i="1"/>
  <c r="G175" i="1"/>
  <c r="J174" i="1" a="1"/>
  <c r="J174" i="1"/>
  <c r="L174" i="1" s="1" a="1"/>
  <c r="L174" i="1" s="1"/>
  <c r="I174" i="1"/>
  <c r="K174" i="1" s="1" a="1"/>
  <c r="K174" i="1" s="1"/>
  <c r="H174" i="1"/>
  <c r="G174" i="1"/>
  <c r="J173" i="1" a="1"/>
  <c r="J173" i="1" s="1"/>
  <c r="L173" i="1" s="1" a="1"/>
  <c r="L173" i="1" s="1"/>
  <c r="I173" i="1"/>
  <c r="K173" i="1" s="1" a="1"/>
  <c r="K173" i="1" s="1"/>
  <c r="H173" i="1"/>
  <c r="G173" i="1"/>
  <c r="J172" i="1" a="1"/>
  <c r="J172" i="1" s="1"/>
  <c r="L172" i="1" s="1" a="1"/>
  <c r="L172" i="1" s="1"/>
  <c r="I172" i="1"/>
  <c r="K172" i="1" s="1" a="1"/>
  <c r="K172" i="1" s="1"/>
  <c r="H172" i="1"/>
  <c r="G172" i="1"/>
  <c r="J171" i="1" a="1"/>
  <c r="J171" i="1" s="1"/>
  <c r="L171" i="1" s="1" a="1"/>
  <c r="L171" i="1" s="1"/>
  <c r="I171" i="1"/>
  <c r="K171" i="1" s="1" a="1"/>
  <c r="K171" i="1" s="1"/>
  <c r="H171" i="1"/>
  <c r="G171" i="1"/>
  <c r="J170" i="1" a="1"/>
  <c r="J170" i="1" s="1"/>
  <c r="L170" i="1" s="1" a="1"/>
  <c r="L170" i="1" s="1"/>
  <c r="I170" i="1"/>
  <c r="K170" i="1" s="1" a="1"/>
  <c r="K170" i="1" s="1"/>
  <c r="H170" i="1"/>
  <c r="G170" i="1"/>
  <c r="J169" i="1" a="1"/>
  <c r="J169" i="1" s="1"/>
  <c r="L169" i="1" s="1" a="1"/>
  <c r="L169" i="1" s="1"/>
  <c r="I169" i="1"/>
  <c r="K169" i="1" s="1" a="1"/>
  <c r="K169" i="1" s="1"/>
  <c r="H169" i="1"/>
  <c r="G169" i="1"/>
  <c r="J168" i="1" a="1"/>
  <c r="J168" i="1" s="1"/>
  <c r="L168" i="1" s="1" a="1"/>
  <c r="L168" i="1" s="1"/>
  <c r="I168" i="1"/>
  <c r="K168" i="1" s="1" a="1"/>
  <c r="K168" i="1" s="1"/>
  <c r="H168" i="1"/>
  <c r="G168" i="1"/>
  <c r="J167" i="1" a="1"/>
  <c r="J167" i="1" s="1"/>
  <c r="L167" i="1" s="1" a="1"/>
  <c r="L167" i="1" s="1"/>
  <c r="I167" i="1"/>
  <c r="K167" i="1" s="1" a="1"/>
  <c r="K167" i="1" s="1"/>
  <c r="H167" i="1"/>
  <c r="G167" i="1"/>
  <c r="J166" i="1" a="1"/>
  <c r="J166" i="1" s="1"/>
  <c r="L166" i="1" s="1" a="1"/>
  <c r="L166" i="1" s="1"/>
  <c r="I166" i="1"/>
  <c r="K166" i="1" s="1" a="1"/>
  <c r="K166" i="1" s="1"/>
  <c r="H166" i="1"/>
  <c r="G166" i="1"/>
  <c r="J165" i="1" a="1"/>
  <c r="J165" i="1" s="1"/>
  <c r="L165" i="1" s="1" a="1"/>
  <c r="L165" i="1" s="1"/>
  <c r="I165" i="1"/>
  <c r="K165" i="1" s="1" a="1"/>
  <c r="K165" i="1" s="1"/>
  <c r="H165" i="1"/>
  <c r="G165" i="1"/>
  <c r="J164" i="1" a="1"/>
  <c r="J164" i="1" s="1"/>
  <c r="L164" i="1" s="1" a="1"/>
  <c r="L164" i="1" s="1"/>
  <c r="I164" i="1"/>
  <c r="K164" i="1" s="1" a="1"/>
  <c r="K164" i="1" s="1"/>
  <c r="H164" i="1"/>
  <c r="G164" i="1"/>
  <c r="J163" i="1" a="1"/>
  <c r="J163" i="1" s="1"/>
  <c r="L163" i="1" s="1" a="1"/>
  <c r="L163" i="1" s="1"/>
  <c r="I163" i="1"/>
  <c r="K163" i="1" s="1" a="1"/>
  <c r="K163" i="1" s="1"/>
  <c r="H163" i="1"/>
  <c r="G163" i="1"/>
  <c r="J162" i="1" a="1"/>
  <c r="J162" i="1" s="1"/>
  <c r="L162" i="1" s="1" a="1"/>
  <c r="L162" i="1" s="1"/>
  <c r="I162" i="1"/>
  <c r="K162" i="1" s="1" a="1"/>
  <c r="K162" i="1" s="1"/>
  <c r="H162" i="1"/>
  <c r="G162" i="1"/>
  <c r="J161" i="1" a="1"/>
  <c r="J161" i="1" s="1"/>
  <c r="L161" i="1" s="1" a="1"/>
  <c r="L161" i="1" s="1"/>
  <c r="I161" i="1"/>
  <c r="K161" i="1" s="1" a="1"/>
  <c r="K161" i="1" s="1"/>
  <c r="H161" i="1"/>
  <c r="G161" i="1"/>
  <c r="J160" i="1" a="1"/>
  <c r="J160" i="1" s="1"/>
  <c r="L160" i="1" s="1" a="1"/>
  <c r="L160" i="1" s="1"/>
  <c r="I160" i="1"/>
  <c r="K160" i="1" s="1" a="1"/>
  <c r="K160" i="1" s="1"/>
  <c r="H160" i="1"/>
  <c r="G160" i="1"/>
  <c r="J159" i="1" a="1"/>
  <c r="J159" i="1" s="1"/>
  <c r="L159" i="1" s="1" a="1"/>
  <c r="L159" i="1" s="1"/>
  <c r="I159" i="1"/>
  <c r="K159" i="1" s="1" a="1"/>
  <c r="K159" i="1" s="1"/>
  <c r="H159" i="1"/>
  <c r="G159" i="1"/>
  <c r="J158" i="1" a="1"/>
  <c r="J158" i="1" s="1"/>
  <c r="L158" i="1" s="1" a="1"/>
  <c r="L158" i="1" s="1"/>
  <c r="I158" i="1"/>
  <c r="K158" i="1" s="1" a="1"/>
  <c r="K158" i="1" s="1"/>
  <c r="H158" i="1"/>
  <c r="G158" i="1"/>
  <c r="J157" i="1" a="1"/>
  <c r="J157" i="1" s="1"/>
  <c r="L157" i="1" s="1" a="1"/>
  <c r="L157" i="1" s="1"/>
  <c r="I157" i="1"/>
  <c r="K157" i="1" s="1" a="1"/>
  <c r="K157" i="1" s="1"/>
  <c r="H157" i="1"/>
  <c r="G157" i="1"/>
  <c r="J156" i="1" a="1"/>
  <c r="J156" i="1" s="1"/>
  <c r="L156" i="1" s="1" a="1"/>
  <c r="L156" i="1" s="1"/>
  <c r="I156" i="1"/>
  <c r="K156" i="1" s="1" a="1"/>
  <c r="K156" i="1" s="1"/>
  <c r="H156" i="1"/>
  <c r="G156" i="1"/>
  <c r="J155" i="1" a="1"/>
  <c r="J155" i="1" s="1"/>
  <c r="L155" i="1" s="1" a="1"/>
  <c r="L155" i="1" s="1"/>
  <c r="I155" i="1"/>
  <c r="K155" i="1" s="1" a="1"/>
  <c r="K155" i="1" s="1"/>
  <c r="H155" i="1"/>
  <c r="G155" i="1"/>
  <c r="J154" i="1" a="1"/>
  <c r="J154" i="1" s="1"/>
  <c r="L154" i="1" s="1" a="1"/>
  <c r="L154" i="1" s="1"/>
  <c r="I154" i="1"/>
  <c r="K154" i="1" s="1" a="1"/>
  <c r="K154" i="1" s="1"/>
  <c r="H154" i="1"/>
  <c r="G154" i="1"/>
  <c r="J153" i="1" a="1"/>
  <c r="J153" i="1" s="1"/>
  <c r="L153" i="1" s="1" a="1"/>
  <c r="L153" i="1" s="1"/>
  <c r="I153" i="1"/>
  <c r="K153" i="1" s="1" a="1"/>
  <c r="K153" i="1" s="1"/>
  <c r="H153" i="1"/>
  <c r="G153" i="1"/>
  <c r="J152" i="1" a="1"/>
  <c r="J152" i="1" s="1"/>
  <c r="L152" i="1" s="1" a="1"/>
  <c r="L152" i="1" s="1"/>
  <c r="I152" i="1"/>
  <c r="K152" i="1" s="1" a="1"/>
  <c r="K152" i="1" s="1"/>
  <c r="H152" i="1"/>
  <c r="G152" i="1"/>
  <c r="L151" i="1" a="1"/>
  <c r="L151" i="1" s="1"/>
  <c r="K151" i="1" a="1"/>
  <c r="K151" i="1" s="1"/>
  <c r="J151" i="1" a="1"/>
  <c r="J151" i="1"/>
  <c r="I151" i="1"/>
  <c r="H151" i="1"/>
  <c r="G151" i="1"/>
  <c r="J150" i="1" a="1"/>
  <c r="J150" i="1"/>
  <c r="L150" i="1" s="1" a="1"/>
  <c r="L150" i="1" s="1"/>
  <c r="I150" i="1"/>
  <c r="K150" i="1" s="1" a="1"/>
  <c r="K150" i="1" s="1"/>
  <c r="H150" i="1"/>
  <c r="G150" i="1"/>
  <c r="J149" i="1" a="1"/>
  <c r="J149" i="1"/>
  <c r="L149" i="1" s="1" a="1"/>
  <c r="L149" i="1" s="1"/>
  <c r="I149" i="1"/>
  <c r="K149" i="1" s="1" a="1"/>
  <c r="K149" i="1" s="1"/>
  <c r="H149" i="1"/>
  <c r="G149" i="1"/>
  <c r="J148" i="1" a="1"/>
  <c r="J148" i="1"/>
  <c r="L148" i="1" s="1" a="1"/>
  <c r="L148" i="1" s="1"/>
  <c r="I148" i="1"/>
  <c r="K148" i="1" s="1" a="1"/>
  <c r="K148" i="1" s="1"/>
  <c r="H148" i="1"/>
  <c r="G148" i="1"/>
  <c r="J147" i="1" a="1"/>
  <c r="J147" i="1"/>
  <c r="L147" i="1" s="1" a="1"/>
  <c r="L147" i="1" s="1"/>
  <c r="I147" i="1"/>
  <c r="K147" i="1" s="1" a="1"/>
  <c r="K147" i="1" s="1"/>
  <c r="H147" i="1"/>
  <c r="G147" i="1"/>
  <c r="J146" i="1" a="1"/>
  <c r="J146" i="1"/>
  <c r="L146" i="1" s="1" a="1"/>
  <c r="L146" i="1" s="1"/>
  <c r="I146" i="1"/>
  <c r="K146" i="1" s="1" a="1"/>
  <c r="K146" i="1" s="1"/>
  <c r="H146" i="1"/>
  <c r="G146" i="1"/>
  <c r="J145" i="1" a="1"/>
  <c r="J145" i="1"/>
  <c r="L145" i="1" s="1" a="1"/>
  <c r="L145" i="1" s="1"/>
  <c r="I145" i="1"/>
  <c r="K145" i="1" s="1" a="1"/>
  <c r="K145" i="1" s="1"/>
  <c r="H145" i="1"/>
  <c r="G145" i="1"/>
  <c r="J144" i="1" a="1"/>
  <c r="J144" i="1"/>
  <c r="L144" i="1" s="1" a="1"/>
  <c r="L144" i="1" s="1"/>
  <c r="I144" i="1"/>
  <c r="K144" i="1" s="1" a="1"/>
  <c r="K144" i="1" s="1"/>
  <c r="H144" i="1"/>
  <c r="G144" i="1"/>
  <c r="J143" i="1" a="1"/>
  <c r="J143" i="1"/>
  <c r="L143" i="1" s="1" a="1"/>
  <c r="L143" i="1" s="1"/>
  <c r="I143" i="1"/>
  <c r="K143" i="1" s="1" a="1"/>
  <c r="K143" i="1" s="1"/>
  <c r="H143" i="1"/>
  <c r="G143" i="1"/>
  <c r="J142" i="1" a="1"/>
  <c r="J142" i="1"/>
  <c r="L142" i="1" s="1" a="1"/>
  <c r="L142" i="1" s="1"/>
  <c r="I142" i="1"/>
  <c r="K142" i="1" s="1" a="1"/>
  <c r="K142" i="1" s="1"/>
  <c r="H142" i="1"/>
  <c r="G142" i="1"/>
  <c r="J141" i="1" a="1"/>
  <c r="J141" i="1"/>
  <c r="L141" i="1" s="1" a="1"/>
  <c r="L141" i="1" s="1"/>
  <c r="I141" i="1"/>
  <c r="K141" i="1" s="1" a="1"/>
  <c r="K141" i="1" s="1"/>
  <c r="H141" i="1"/>
  <c r="G141" i="1"/>
  <c r="J140" i="1" a="1"/>
  <c r="J140" i="1"/>
  <c r="L140" i="1" s="1" a="1"/>
  <c r="L140" i="1" s="1"/>
  <c r="I140" i="1"/>
  <c r="K140" i="1" s="1" a="1"/>
  <c r="K140" i="1" s="1"/>
  <c r="H140" i="1"/>
  <c r="G140" i="1"/>
  <c r="J139" i="1" a="1"/>
  <c r="J139" i="1"/>
  <c r="L139" i="1" s="1" a="1"/>
  <c r="L139" i="1" s="1"/>
  <c r="I139" i="1"/>
  <c r="K139" i="1" s="1" a="1"/>
  <c r="K139" i="1" s="1"/>
  <c r="H139" i="1"/>
  <c r="G139" i="1"/>
  <c r="J138" i="1" a="1"/>
  <c r="J138" i="1"/>
  <c r="L138" i="1" s="1" a="1"/>
  <c r="L138" i="1" s="1"/>
  <c r="I138" i="1"/>
  <c r="K138" i="1" s="1" a="1"/>
  <c r="K138" i="1" s="1"/>
  <c r="H138" i="1"/>
  <c r="G138" i="1"/>
  <c r="J137" i="1" a="1"/>
  <c r="J137" i="1"/>
  <c r="L137" i="1" s="1" a="1"/>
  <c r="L137" i="1" s="1"/>
  <c r="I137" i="1"/>
  <c r="K137" i="1" s="1" a="1"/>
  <c r="K137" i="1" s="1"/>
  <c r="H137" i="1"/>
  <c r="G137" i="1"/>
  <c r="J136" i="1" a="1"/>
  <c r="J136" i="1"/>
  <c r="L136" i="1" s="1" a="1"/>
  <c r="L136" i="1" s="1"/>
  <c r="I136" i="1"/>
  <c r="K136" i="1" s="1" a="1"/>
  <c r="K136" i="1" s="1"/>
  <c r="H136" i="1"/>
  <c r="G136" i="1"/>
  <c r="J135" i="1" a="1"/>
  <c r="J135" i="1"/>
  <c r="L135" i="1" s="1" a="1"/>
  <c r="L135" i="1" s="1"/>
  <c r="I135" i="1"/>
  <c r="K135" i="1" s="1" a="1"/>
  <c r="K135" i="1" s="1"/>
  <c r="H135" i="1"/>
  <c r="G135" i="1"/>
  <c r="J134" i="1" a="1"/>
  <c r="J134" i="1"/>
  <c r="L134" i="1" s="1" a="1"/>
  <c r="L134" i="1" s="1"/>
  <c r="I134" i="1"/>
  <c r="K134" i="1" s="1" a="1"/>
  <c r="K134" i="1" s="1"/>
  <c r="H134" i="1"/>
  <c r="G134" i="1"/>
  <c r="J133" i="1" a="1"/>
  <c r="J133" i="1"/>
  <c r="L133" i="1" s="1" a="1"/>
  <c r="L133" i="1" s="1"/>
  <c r="I133" i="1"/>
  <c r="K133" i="1" s="1" a="1"/>
  <c r="K133" i="1" s="1"/>
  <c r="H133" i="1"/>
  <c r="G133" i="1"/>
  <c r="J132" i="1" a="1"/>
  <c r="J132" i="1"/>
  <c r="L132" i="1" s="1" a="1"/>
  <c r="L132" i="1" s="1"/>
  <c r="I132" i="1"/>
  <c r="K132" i="1" s="1" a="1"/>
  <c r="K132" i="1" s="1"/>
  <c r="H132" i="1"/>
  <c r="G132" i="1"/>
  <c r="J131" i="1" a="1"/>
  <c r="J131" i="1"/>
  <c r="L131" i="1" s="1" a="1"/>
  <c r="L131" i="1" s="1"/>
  <c r="I131" i="1"/>
  <c r="K131" i="1" s="1" a="1"/>
  <c r="K131" i="1" s="1"/>
  <c r="H131" i="1"/>
  <c r="G131" i="1"/>
  <c r="J130" i="1" a="1"/>
  <c r="J130" i="1"/>
  <c r="L130" i="1" s="1" a="1"/>
  <c r="L130" i="1" s="1"/>
  <c r="I130" i="1"/>
  <c r="K130" i="1" s="1" a="1"/>
  <c r="K130" i="1" s="1"/>
  <c r="H130" i="1"/>
  <c r="G130" i="1"/>
  <c r="J129" i="1" a="1"/>
  <c r="J129" i="1"/>
  <c r="L129" i="1" s="1" a="1"/>
  <c r="L129" i="1" s="1"/>
  <c r="I129" i="1"/>
  <c r="K129" i="1" s="1" a="1"/>
  <c r="K129" i="1" s="1"/>
  <c r="H129" i="1"/>
  <c r="G129" i="1"/>
  <c r="J128" i="1" a="1"/>
  <c r="J128" i="1"/>
  <c r="L128" i="1" s="1" a="1"/>
  <c r="L128" i="1" s="1"/>
  <c r="I128" i="1"/>
  <c r="K128" i="1" s="1" a="1"/>
  <c r="K128" i="1" s="1"/>
  <c r="H128" i="1"/>
  <c r="G128" i="1"/>
  <c r="J127" i="1" a="1"/>
  <c r="J127" i="1"/>
  <c r="L127" i="1" s="1" a="1"/>
  <c r="L127" i="1" s="1"/>
  <c r="I127" i="1"/>
  <c r="K127" i="1" s="1" a="1"/>
  <c r="K127" i="1" s="1"/>
  <c r="H127" i="1"/>
  <c r="G127" i="1"/>
  <c r="J126" i="1" a="1"/>
  <c r="J126" i="1"/>
  <c r="L126" i="1" s="1" a="1"/>
  <c r="L126" i="1" s="1"/>
  <c r="I126" i="1"/>
  <c r="K126" i="1" s="1" a="1"/>
  <c r="K126" i="1" s="1"/>
  <c r="H126" i="1"/>
  <c r="G126" i="1"/>
  <c r="J125" i="1" a="1"/>
  <c r="J125" i="1"/>
  <c r="L125" i="1" s="1" a="1"/>
  <c r="L125" i="1" s="1"/>
  <c r="I125" i="1"/>
  <c r="K125" i="1" s="1" a="1"/>
  <c r="K125" i="1" s="1"/>
  <c r="H125" i="1"/>
  <c r="G125" i="1"/>
  <c r="J124" i="1" a="1"/>
  <c r="J124" i="1"/>
  <c r="L124" i="1" s="1" a="1"/>
  <c r="L124" i="1" s="1"/>
  <c r="I124" i="1"/>
  <c r="K124" i="1" s="1" a="1"/>
  <c r="K124" i="1" s="1"/>
  <c r="H124" i="1"/>
  <c r="G124" i="1"/>
  <c r="J123" i="1" a="1"/>
  <c r="J123" i="1"/>
  <c r="L123" i="1" s="1" a="1"/>
  <c r="L123" i="1" s="1"/>
  <c r="I123" i="1"/>
  <c r="K123" i="1" s="1" a="1"/>
  <c r="K123" i="1" s="1"/>
  <c r="H123" i="1"/>
  <c r="G123" i="1"/>
  <c r="J122" i="1" a="1"/>
  <c r="J122" i="1"/>
  <c r="L122" i="1" s="1" a="1"/>
  <c r="L122" i="1" s="1"/>
  <c r="I122" i="1"/>
  <c r="K122" i="1" s="1" a="1"/>
  <c r="K122" i="1" s="1"/>
  <c r="H122" i="1"/>
  <c r="G122" i="1"/>
  <c r="J121" i="1" a="1"/>
  <c r="J121" i="1"/>
  <c r="L121" i="1" s="1" a="1"/>
  <c r="L121" i="1" s="1"/>
  <c r="I121" i="1"/>
  <c r="K121" i="1" s="1" a="1"/>
  <c r="K121" i="1" s="1"/>
  <c r="H121" i="1"/>
  <c r="G121" i="1"/>
  <c r="J120" i="1" a="1"/>
  <c r="J120" i="1"/>
  <c r="L120" i="1" s="1" a="1"/>
  <c r="L120" i="1" s="1"/>
  <c r="I120" i="1"/>
  <c r="K120" i="1" s="1" a="1"/>
  <c r="K120" i="1" s="1"/>
  <c r="H120" i="1"/>
  <c r="G120" i="1"/>
  <c r="J119" i="1" a="1"/>
  <c r="J119" i="1"/>
  <c r="L119" i="1" s="1" a="1"/>
  <c r="L119" i="1" s="1"/>
  <c r="I119" i="1"/>
  <c r="K119" i="1" s="1" a="1"/>
  <c r="K119" i="1" s="1"/>
  <c r="H119" i="1"/>
  <c r="G119" i="1"/>
  <c r="J118" i="1" a="1"/>
  <c r="J118" i="1"/>
  <c r="L118" i="1" s="1" a="1"/>
  <c r="L118" i="1" s="1"/>
  <c r="I118" i="1"/>
  <c r="K118" i="1" s="1" a="1"/>
  <c r="K118" i="1" s="1"/>
  <c r="H118" i="1"/>
  <c r="G118" i="1"/>
  <c r="J117" i="1" a="1"/>
  <c r="J117" i="1"/>
  <c r="L117" i="1" s="1" a="1"/>
  <c r="L117" i="1" s="1"/>
  <c r="I117" i="1"/>
  <c r="K117" i="1" s="1" a="1"/>
  <c r="K117" i="1" s="1"/>
  <c r="H117" i="1"/>
  <c r="G117" i="1"/>
  <c r="J116" i="1" a="1"/>
  <c r="J116" i="1"/>
  <c r="L116" i="1" s="1" a="1"/>
  <c r="L116" i="1" s="1"/>
  <c r="I116" i="1"/>
  <c r="K116" i="1" s="1" a="1"/>
  <c r="K116" i="1" s="1"/>
  <c r="H116" i="1"/>
  <c r="G116" i="1"/>
  <c r="J115" i="1" a="1"/>
  <c r="J115" i="1"/>
  <c r="L115" i="1" s="1" a="1"/>
  <c r="L115" i="1" s="1"/>
  <c r="I115" i="1"/>
  <c r="K115" i="1" s="1" a="1"/>
  <c r="K115" i="1" s="1"/>
  <c r="H115" i="1"/>
  <c r="G115" i="1"/>
  <c r="J114" i="1" a="1"/>
  <c r="J114" i="1"/>
  <c r="L114" i="1" s="1" a="1"/>
  <c r="L114" i="1" s="1"/>
  <c r="I114" i="1"/>
  <c r="K114" i="1" s="1" a="1"/>
  <c r="K114" i="1" s="1"/>
  <c r="H114" i="1"/>
  <c r="G114" i="1"/>
  <c r="J113" i="1" a="1"/>
  <c r="J113" i="1"/>
  <c r="L113" i="1" s="1" a="1"/>
  <c r="L113" i="1" s="1"/>
  <c r="I113" i="1"/>
  <c r="K113" i="1" s="1" a="1"/>
  <c r="K113" i="1" s="1"/>
  <c r="H113" i="1"/>
  <c r="G113" i="1"/>
  <c r="J112" i="1" a="1"/>
  <c r="J112" i="1"/>
  <c r="L112" i="1" s="1" a="1"/>
  <c r="L112" i="1" s="1"/>
  <c r="I112" i="1"/>
  <c r="K112" i="1" s="1" a="1"/>
  <c r="K112" i="1" s="1"/>
  <c r="H112" i="1"/>
  <c r="G112" i="1"/>
  <c r="J111" i="1" a="1"/>
  <c r="J111" i="1"/>
  <c r="L111" i="1" s="1" a="1"/>
  <c r="L111" i="1" s="1"/>
  <c r="I111" i="1"/>
  <c r="K111" i="1" s="1" a="1"/>
  <c r="K111" i="1" s="1"/>
  <c r="H111" i="1"/>
  <c r="G111" i="1"/>
  <c r="J110" i="1" a="1"/>
  <c r="J110" i="1"/>
  <c r="L110" i="1" s="1" a="1"/>
  <c r="L110" i="1" s="1"/>
  <c r="I110" i="1"/>
  <c r="K110" i="1" s="1" a="1"/>
  <c r="K110" i="1" s="1"/>
  <c r="H110" i="1"/>
  <c r="G110" i="1"/>
  <c r="J109" i="1" a="1"/>
  <c r="J109" i="1"/>
  <c r="L109" i="1" s="1" a="1"/>
  <c r="L109" i="1" s="1"/>
  <c r="I109" i="1"/>
  <c r="K109" i="1" s="1" a="1"/>
  <c r="K109" i="1" s="1"/>
  <c r="H109" i="1"/>
  <c r="G109" i="1"/>
  <c r="J108" i="1" a="1"/>
  <c r="J108" i="1"/>
  <c r="L108" i="1" s="1" a="1"/>
  <c r="L108" i="1" s="1"/>
  <c r="I108" i="1"/>
  <c r="K108" i="1" s="1" a="1"/>
  <c r="K108" i="1" s="1"/>
  <c r="H108" i="1"/>
  <c r="G108" i="1"/>
  <c r="J107" i="1" a="1"/>
  <c r="J107" i="1"/>
  <c r="L107" i="1" s="1" a="1"/>
  <c r="L107" i="1" s="1"/>
  <c r="I107" i="1"/>
  <c r="K107" i="1" s="1" a="1"/>
  <c r="K107" i="1" s="1"/>
  <c r="H107" i="1"/>
  <c r="G107" i="1"/>
  <c r="J106" i="1" a="1"/>
  <c r="J106" i="1"/>
  <c r="L106" i="1" s="1" a="1"/>
  <c r="L106" i="1" s="1"/>
  <c r="I106" i="1"/>
  <c r="K106" i="1" s="1" a="1"/>
  <c r="K106" i="1" s="1"/>
  <c r="H106" i="1"/>
  <c r="G106" i="1"/>
  <c r="J105" i="1" a="1"/>
  <c r="J105" i="1"/>
  <c r="L105" i="1" s="1" a="1"/>
  <c r="L105" i="1" s="1"/>
  <c r="I105" i="1"/>
  <c r="K105" i="1" s="1" a="1"/>
  <c r="K105" i="1" s="1"/>
  <c r="H105" i="1"/>
  <c r="G105" i="1"/>
  <c r="J104" i="1" a="1"/>
  <c r="J104" i="1"/>
  <c r="L104" i="1" s="1" a="1"/>
  <c r="L104" i="1" s="1"/>
  <c r="I104" i="1"/>
  <c r="K104" i="1" s="1" a="1"/>
  <c r="K104" i="1" s="1"/>
  <c r="H104" i="1"/>
  <c r="G104" i="1"/>
  <c r="J103" i="1" a="1"/>
  <c r="J103" i="1"/>
  <c r="L103" i="1" s="1" a="1"/>
  <c r="L103" i="1" s="1"/>
  <c r="I103" i="1"/>
  <c r="K103" i="1" s="1" a="1"/>
  <c r="K103" i="1" s="1"/>
  <c r="H103" i="1"/>
  <c r="G103" i="1"/>
  <c r="J102" i="1" a="1"/>
  <c r="J102" i="1"/>
  <c r="L102" i="1" s="1" a="1"/>
  <c r="L102" i="1" s="1"/>
  <c r="I102" i="1"/>
  <c r="K102" i="1" s="1" a="1"/>
  <c r="K102" i="1" s="1"/>
  <c r="H102" i="1"/>
  <c r="G102" i="1"/>
  <c r="J101" i="1" a="1"/>
  <c r="J101" i="1"/>
  <c r="L101" i="1" s="1" a="1"/>
  <c r="L101" i="1" s="1"/>
  <c r="I101" i="1"/>
  <c r="K101" i="1" s="1" a="1"/>
  <c r="K101" i="1" s="1"/>
  <c r="H101" i="1"/>
  <c r="G101" i="1"/>
  <c r="J100" i="1" a="1"/>
  <c r="J100" i="1"/>
  <c r="L100" i="1" s="1" a="1"/>
  <c r="L100" i="1" s="1"/>
  <c r="I100" i="1"/>
  <c r="K100" i="1" s="1" a="1"/>
  <c r="K100" i="1" s="1"/>
  <c r="H100" i="1"/>
  <c r="G100" i="1"/>
  <c r="J99" i="1" a="1"/>
  <c r="J99" i="1"/>
  <c r="L99" i="1" s="1" a="1"/>
  <c r="L99" i="1" s="1"/>
  <c r="I99" i="1"/>
  <c r="K99" i="1" s="1" a="1"/>
  <c r="K99" i="1" s="1"/>
  <c r="H99" i="1"/>
  <c r="G99" i="1"/>
  <c r="J98" i="1" a="1"/>
  <c r="J98" i="1"/>
  <c r="L98" i="1" s="1" a="1"/>
  <c r="L98" i="1" s="1"/>
  <c r="I98" i="1"/>
  <c r="K98" i="1" s="1" a="1"/>
  <c r="K98" i="1" s="1"/>
  <c r="H98" i="1"/>
  <c r="G98" i="1"/>
  <c r="J97" i="1" a="1"/>
  <c r="J97" i="1"/>
  <c r="L97" i="1" s="1" a="1"/>
  <c r="L97" i="1" s="1"/>
  <c r="I97" i="1"/>
  <c r="K97" i="1" s="1" a="1"/>
  <c r="K97" i="1" s="1"/>
  <c r="H97" i="1"/>
  <c r="G97" i="1"/>
  <c r="J96" i="1" a="1"/>
  <c r="J96" i="1"/>
  <c r="L96" i="1" s="1" a="1"/>
  <c r="L96" i="1" s="1"/>
  <c r="I96" i="1"/>
  <c r="K96" i="1" s="1" a="1"/>
  <c r="K96" i="1" s="1"/>
  <c r="H96" i="1"/>
  <c r="G96" i="1"/>
  <c r="J95" i="1" a="1"/>
  <c r="J95" i="1"/>
  <c r="L95" i="1" s="1" a="1"/>
  <c r="L95" i="1" s="1"/>
  <c r="I95" i="1"/>
  <c r="K95" i="1" s="1" a="1"/>
  <c r="K95" i="1" s="1"/>
  <c r="H95" i="1"/>
  <c r="G95" i="1"/>
  <c r="J94" i="1" a="1"/>
  <c r="J94" i="1"/>
  <c r="L94" i="1" s="1" a="1"/>
  <c r="L94" i="1" s="1"/>
  <c r="I94" i="1"/>
  <c r="K94" i="1" s="1" a="1"/>
  <c r="K94" i="1" s="1"/>
  <c r="H94" i="1"/>
  <c r="G94" i="1"/>
  <c r="J93" i="1" a="1"/>
  <c r="J93" i="1"/>
  <c r="L93" i="1" s="1" a="1"/>
  <c r="L93" i="1" s="1"/>
  <c r="I93" i="1"/>
  <c r="K93" i="1" s="1" a="1"/>
  <c r="K93" i="1" s="1"/>
  <c r="H93" i="1"/>
  <c r="G93" i="1"/>
  <c r="J92" i="1" a="1"/>
  <c r="J92" i="1"/>
  <c r="L92" i="1" s="1" a="1"/>
  <c r="L92" i="1" s="1"/>
  <c r="I92" i="1"/>
  <c r="K92" i="1" s="1" a="1"/>
  <c r="K92" i="1" s="1"/>
  <c r="H92" i="1"/>
  <c r="G92" i="1"/>
  <c r="J91" i="1" a="1"/>
  <c r="J91" i="1"/>
  <c r="L91" i="1" s="1" a="1"/>
  <c r="L91" i="1" s="1"/>
  <c r="I91" i="1"/>
  <c r="K91" i="1" s="1" a="1"/>
  <c r="K91" i="1" s="1"/>
  <c r="H91" i="1"/>
  <c r="G91" i="1"/>
  <c r="J90" i="1" a="1"/>
  <c r="J90" i="1"/>
  <c r="L90" i="1" s="1" a="1"/>
  <c r="L90" i="1" s="1"/>
  <c r="I90" i="1"/>
  <c r="K90" i="1" s="1" a="1"/>
  <c r="K90" i="1" s="1"/>
  <c r="H90" i="1"/>
  <c r="G90" i="1"/>
  <c r="J89" i="1" a="1"/>
  <c r="J89" i="1"/>
  <c r="L89" i="1" s="1" a="1"/>
  <c r="L89" i="1" s="1"/>
  <c r="I89" i="1"/>
  <c r="K89" i="1" s="1" a="1"/>
  <c r="K89" i="1" s="1"/>
  <c r="H89" i="1"/>
  <c r="G89" i="1"/>
  <c r="J88" i="1" a="1"/>
  <c r="J88" i="1" s="1"/>
  <c r="L88" i="1" s="1" a="1"/>
  <c r="L88" i="1" s="1"/>
  <c r="I88" i="1"/>
  <c r="K88" i="1" s="1" a="1"/>
  <c r="K88" i="1" s="1"/>
  <c r="H88" i="1"/>
  <c r="G88" i="1"/>
  <c r="J87" i="1" a="1"/>
  <c r="J87" i="1"/>
  <c r="L87" i="1" s="1" a="1"/>
  <c r="L87" i="1" s="1"/>
  <c r="I87" i="1"/>
  <c r="K87" i="1" s="1" a="1"/>
  <c r="K87" i="1" s="1"/>
  <c r="H87" i="1"/>
  <c r="G87" i="1"/>
  <c r="J86" i="1" a="1"/>
  <c r="J86" i="1"/>
  <c r="L86" i="1" s="1" a="1"/>
  <c r="L86" i="1" s="1"/>
  <c r="I86" i="1"/>
  <c r="K86" i="1" s="1" a="1"/>
  <c r="K86" i="1" s="1"/>
  <c r="H86" i="1"/>
  <c r="G86" i="1"/>
  <c r="J85" i="1" a="1"/>
  <c r="J85" i="1"/>
  <c r="L85" i="1" s="1" a="1"/>
  <c r="L85" i="1" s="1"/>
  <c r="I85" i="1"/>
  <c r="K85" i="1" s="1" a="1"/>
  <c r="K85" i="1" s="1"/>
  <c r="H85" i="1"/>
  <c r="G85" i="1"/>
  <c r="J84" i="1" a="1"/>
  <c r="J84" i="1"/>
  <c r="L84" i="1" s="1" a="1"/>
  <c r="L84" i="1" s="1"/>
  <c r="I84" i="1"/>
  <c r="K84" i="1" s="1" a="1"/>
  <c r="K84" i="1" s="1"/>
  <c r="H84" i="1"/>
  <c r="G84" i="1"/>
  <c r="J83" i="1" a="1"/>
  <c r="J83" i="1"/>
  <c r="L83" i="1" s="1" a="1"/>
  <c r="L83" i="1" s="1"/>
  <c r="I83" i="1"/>
  <c r="K83" i="1" s="1" a="1"/>
  <c r="K83" i="1" s="1"/>
  <c r="H83" i="1"/>
  <c r="G83" i="1"/>
  <c r="J82" i="1" a="1"/>
  <c r="J82" i="1"/>
  <c r="L82" i="1" s="1" a="1"/>
  <c r="L82" i="1" s="1"/>
  <c r="I82" i="1"/>
  <c r="K82" i="1" s="1" a="1"/>
  <c r="K82" i="1" s="1"/>
  <c r="H82" i="1"/>
  <c r="G82" i="1"/>
  <c r="J81" i="1" a="1"/>
  <c r="J81" i="1"/>
  <c r="L81" i="1" s="1" a="1"/>
  <c r="L81" i="1" s="1"/>
  <c r="I81" i="1"/>
  <c r="K81" i="1" s="1" a="1"/>
  <c r="K81" i="1" s="1"/>
  <c r="H81" i="1"/>
  <c r="G81" i="1"/>
  <c r="J80" i="1" a="1"/>
  <c r="J80" i="1"/>
  <c r="L80" i="1" s="1" a="1"/>
  <c r="L80" i="1" s="1"/>
  <c r="I80" i="1"/>
  <c r="K80" i="1" s="1" a="1"/>
  <c r="K80" i="1" s="1"/>
  <c r="H80" i="1"/>
  <c r="G80" i="1"/>
  <c r="J79" i="1" a="1"/>
  <c r="J79" i="1"/>
  <c r="L79" i="1" s="1" a="1"/>
  <c r="L79" i="1" s="1"/>
  <c r="I79" i="1"/>
  <c r="K79" i="1" s="1" a="1"/>
  <c r="K79" i="1" s="1"/>
  <c r="H79" i="1"/>
  <c r="G79" i="1"/>
  <c r="J78" i="1" a="1"/>
  <c r="J78" i="1"/>
  <c r="L78" i="1" s="1" a="1"/>
  <c r="L78" i="1" s="1"/>
  <c r="I78" i="1"/>
  <c r="K78" i="1" s="1" a="1"/>
  <c r="K78" i="1" s="1"/>
  <c r="H78" i="1"/>
  <c r="G78" i="1"/>
  <c r="J77" i="1" a="1"/>
  <c r="J77" i="1"/>
  <c r="L77" i="1" s="1" a="1"/>
  <c r="L77" i="1" s="1"/>
  <c r="I77" i="1"/>
  <c r="K77" i="1" s="1" a="1"/>
  <c r="K77" i="1" s="1"/>
  <c r="H77" i="1"/>
  <c r="G77" i="1"/>
  <c r="J76" i="1" a="1"/>
  <c r="J76" i="1"/>
  <c r="L76" i="1" s="1" a="1"/>
  <c r="L76" i="1" s="1"/>
  <c r="I76" i="1"/>
  <c r="K76" i="1" s="1" a="1"/>
  <c r="K76" i="1" s="1"/>
  <c r="H76" i="1"/>
  <c r="G76" i="1"/>
  <c r="J75" i="1" a="1"/>
  <c r="J75" i="1"/>
  <c r="L75" i="1" s="1" a="1"/>
  <c r="L75" i="1" s="1"/>
  <c r="I75" i="1"/>
  <c r="K75" i="1" s="1" a="1"/>
  <c r="K75" i="1" s="1"/>
  <c r="H75" i="1"/>
  <c r="G75" i="1"/>
  <c r="J74" i="1" a="1"/>
  <c r="J74" i="1"/>
  <c r="L74" i="1" s="1" a="1"/>
  <c r="L74" i="1" s="1"/>
  <c r="I74" i="1"/>
  <c r="K74" i="1" s="1" a="1"/>
  <c r="K74" i="1" s="1"/>
  <c r="H74" i="1"/>
  <c r="G74" i="1"/>
  <c r="J73" i="1" a="1"/>
  <c r="J73" i="1"/>
  <c r="L73" i="1" s="1" a="1"/>
  <c r="L73" i="1" s="1"/>
  <c r="I73" i="1"/>
  <c r="K73" i="1" s="1" a="1"/>
  <c r="K73" i="1" s="1"/>
  <c r="H73" i="1"/>
  <c r="G73" i="1"/>
  <c r="J72" i="1" a="1"/>
  <c r="J72" i="1"/>
  <c r="L72" i="1" s="1" a="1"/>
  <c r="L72" i="1" s="1"/>
  <c r="I72" i="1"/>
  <c r="K72" i="1" s="1" a="1"/>
  <c r="K72" i="1" s="1"/>
  <c r="H72" i="1"/>
  <c r="G72" i="1"/>
  <c r="J71" i="1" a="1"/>
  <c r="J71" i="1"/>
  <c r="L71" i="1" s="1" a="1"/>
  <c r="L71" i="1" s="1"/>
  <c r="I71" i="1"/>
  <c r="K71" i="1" s="1" a="1"/>
  <c r="K71" i="1" s="1"/>
  <c r="H71" i="1"/>
  <c r="G71" i="1"/>
  <c r="J70" i="1" a="1"/>
  <c r="J70" i="1"/>
  <c r="L70" i="1" s="1" a="1"/>
  <c r="L70" i="1" s="1"/>
  <c r="I70" i="1"/>
  <c r="K70" i="1" s="1" a="1"/>
  <c r="K70" i="1" s="1"/>
  <c r="H70" i="1"/>
  <c r="G70" i="1"/>
  <c r="J69" i="1" a="1"/>
  <c r="J69" i="1"/>
  <c r="L69" i="1" s="1" a="1"/>
  <c r="L69" i="1" s="1"/>
  <c r="I69" i="1"/>
  <c r="K69" i="1" s="1" a="1"/>
  <c r="K69" i="1" s="1"/>
  <c r="H69" i="1"/>
  <c r="G69" i="1"/>
  <c r="J68" i="1" a="1"/>
  <c r="J68" i="1"/>
  <c r="L68" i="1" s="1" a="1"/>
  <c r="L68" i="1" s="1"/>
  <c r="I68" i="1"/>
  <c r="K68" i="1" s="1" a="1"/>
  <c r="K68" i="1" s="1"/>
  <c r="H68" i="1"/>
  <c r="G68" i="1"/>
  <c r="J67" i="1" a="1"/>
  <c r="J67" i="1"/>
  <c r="L67" i="1" s="1" a="1"/>
  <c r="L67" i="1" s="1"/>
  <c r="I67" i="1"/>
  <c r="K67" i="1" s="1" a="1"/>
  <c r="K67" i="1" s="1"/>
  <c r="H67" i="1"/>
  <c r="G67" i="1"/>
  <c r="J66" i="1" a="1"/>
  <c r="J66" i="1"/>
  <c r="L66" i="1" s="1" a="1"/>
  <c r="L66" i="1" s="1"/>
  <c r="I66" i="1"/>
  <c r="K66" i="1" s="1" a="1"/>
  <c r="K66" i="1" s="1"/>
  <c r="H66" i="1"/>
  <c r="G66" i="1"/>
  <c r="J65" i="1" a="1"/>
  <c r="J65" i="1"/>
  <c r="L65" i="1" s="1" a="1"/>
  <c r="L65" i="1" s="1"/>
  <c r="I65" i="1"/>
  <c r="K65" i="1" s="1" a="1"/>
  <c r="K65" i="1" s="1"/>
  <c r="H65" i="1"/>
  <c r="G65" i="1"/>
  <c r="J64" i="1" a="1"/>
  <c r="J64" i="1"/>
  <c r="L64" i="1" s="1" a="1"/>
  <c r="L64" i="1" s="1"/>
  <c r="I64" i="1"/>
  <c r="K64" i="1" s="1" a="1"/>
  <c r="K64" i="1" s="1"/>
  <c r="H64" i="1"/>
  <c r="G64" i="1"/>
  <c r="J63" i="1" a="1"/>
  <c r="J63" i="1"/>
  <c r="L63" i="1" s="1" a="1"/>
  <c r="L63" i="1" s="1"/>
  <c r="I63" i="1"/>
  <c r="K63" i="1" s="1" a="1"/>
  <c r="K63" i="1" s="1"/>
  <c r="H63" i="1"/>
  <c r="G63" i="1"/>
  <c r="J62" i="1" a="1"/>
  <c r="J62" i="1"/>
  <c r="L62" i="1" s="1" a="1"/>
  <c r="L62" i="1" s="1"/>
  <c r="I62" i="1"/>
  <c r="K62" i="1" s="1" a="1"/>
  <c r="K62" i="1" s="1"/>
  <c r="H62" i="1"/>
  <c r="G62" i="1"/>
  <c r="J61" i="1" a="1"/>
  <c r="J61" i="1"/>
  <c r="L61" i="1" s="1" a="1"/>
  <c r="L61" i="1" s="1"/>
  <c r="I61" i="1"/>
  <c r="K61" i="1" s="1" a="1"/>
  <c r="K61" i="1" s="1"/>
  <c r="H61" i="1"/>
  <c r="G61" i="1"/>
  <c r="J60" i="1" a="1"/>
  <c r="J60" i="1"/>
  <c r="L60" i="1" s="1" a="1"/>
  <c r="L60" i="1" s="1"/>
  <c r="I60" i="1"/>
  <c r="K60" i="1" s="1" a="1"/>
  <c r="K60" i="1" s="1"/>
  <c r="H60" i="1"/>
  <c r="G60" i="1"/>
  <c r="J59" i="1" a="1"/>
  <c r="J59" i="1"/>
  <c r="L59" i="1" s="1" a="1"/>
  <c r="L59" i="1" s="1"/>
  <c r="I59" i="1"/>
  <c r="K59" i="1" s="1" a="1"/>
  <c r="K59" i="1" s="1"/>
  <c r="H59" i="1"/>
  <c r="G59" i="1"/>
  <c r="J58" i="1" a="1"/>
  <c r="J58" i="1"/>
  <c r="L58" i="1" s="1" a="1"/>
  <c r="L58" i="1" s="1"/>
  <c r="I58" i="1"/>
  <c r="K58" i="1" s="1" a="1"/>
  <c r="K58" i="1" s="1"/>
  <c r="H58" i="1"/>
  <c r="G58" i="1"/>
  <c r="J57" i="1" a="1"/>
  <c r="J57" i="1"/>
  <c r="L57" i="1" s="1" a="1"/>
  <c r="L57" i="1" s="1"/>
  <c r="I57" i="1"/>
  <c r="K57" i="1" s="1" a="1"/>
  <c r="K57" i="1" s="1"/>
  <c r="H57" i="1"/>
  <c r="G57" i="1"/>
  <c r="J56" i="1" a="1"/>
  <c r="J56" i="1"/>
  <c r="L56" i="1" s="1" a="1"/>
  <c r="L56" i="1" s="1"/>
  <c r="I56" i="1"/>
  <c r="K56" i="1" s="1" a="1"/>
  <c r="K56" i="1" s="1"/>
  <c r="H56" i="1"/>
  <c r="G56" i="1"/>
  <c r="J55" i="1" a="1"/>
  <c r="J55" i="1"/>
  <c r="L55" i="1" s="1" a="1"/>
  <c r="L55" i="1" s="1"/>
  <c r="I55" i="1"/>
  <c r="K55" i="1" s="1" a="1"/>
  <c r="K55" i="1" s="1"/>
  <c r="H55" i="1"/>
  <c r="G55" i="1"/>
  <c r="J54" i="1" a="1"/>
  <c r="J54" i="1"/>
  <c r="L54" i="1" s="1" a="1"/>
  <c r="L54" i="1" s="1"/>
  <c r="I54" i="1"/>
  <c r="K54" i="1" s="1" a="1"/>
  <c r="K54" i="1" s="1"/>
  <c r="H54" i="1"/>
  <c r="G54" i="1"/>
  <c r="J53" i="1" a="1"/>
  <c r="J53" i="1"/>
  <c r="L53" i="1" s="1" a="1"/>
  <c r="L53" i="1" s="1"/>
  <c r="I53" i="1"/>
  <c r="K53" i="1" s="1" a="1"/>
  <c r="K53" i="1" s="1"/>
  <c r="H53" i="1"/>
  <c r="G53" i="1"/>
  <c r="J52" i="1" a="1"/>
  <c r="J52" i="1"/>
  <c r="L52" i="1" s="1" a="1"/>
  <c r="L52" i="1" s="1"/>
  <c r="I52" i="1"/>
  <c r="K52" i="1" s="1" a="1"/>
  <c r="K52" i="1" s="1"/>
  <c r="H52" i="1"/>
  <c r="G52" i="1"/>
  <c r="J51" i="1" a="1"/>
  <c r="J51" i="1"/>
  <c r="L51" i="1" s="1" a="1"/>
  <c r="L51" i="1" s="1"/>
  <c r="I51" i="1"/>
  <c r="K51" i="1" s="1" a="1"/>
  <c r="K51" i="1" s="1"/>
  <c r="H51" i="1"/>
  <c r="G51" i="1"/>
  <c r="J50" i="1" a="1"/>
  <c r="J50" i="1"/>
  <c r="L50" i="1" s="1" a="1"/>
  <c r="L50" i="1" s="1"/>
  <c r="I50" i="1"/>
  <c r="K50" i="1" s="1" a="1"/>
  <c r="K50" i="1" s="1"/>
  <c r="H50" i="1"/>
  <c r="G50" i="1"/>
  <c r="J49" i="1" a="1"/>
  <c r="J49" i="1"/>
  <c r="L49" i="1" s="1" a="1"/>
  <c r="L49" i="1" s="1"/>
  <c r="I49" i="1"/>
  <c r="K49" i="1" s="1" a="1"/>
  <c r="K49" i="1" s="1"/>
  <c r="H49" i="1"/>
  <c r="G49" i="1"/>
  <c r="J48" i="1" a="1"/>
  <c r="J48" i="1"/>
  <c r="L48" i="1" s="1" a="1"/>
  <c r="L48" i="1" s="1"/>
  <c r="I48" i="1"/>
  <c r="K48" i="1" s="1" a="1"/>
  <c r="K48" i="1" s="1"/>
  <c r="H48" i="1"/>
  <c r="G48" i="1"/>
  <c r="J47" i="1" a="1"/>
  <c r="J47" i="1"/>
  <c r="L47" i="1" s="1" a="1"/>
  <c r="L47" i="1" s="1"/>
  <c r="I47" i="1"/>
  <c r="K47" i="1" s="1" a="1"/>
  <c r="K47" i="1" s="1"/>
  <c r="H47" i="1"/>
  <c r="G47" i="1"/>
  <c r="J46" i="1" a="1"/>
  <c r="J46" i="1"/>
  <c r="L46" i="1" s="1" a="1"/>
  <c r="L46" i="1" s="1"/>
  <c r="I46" i="1"/>
  <c r="K46" i="1" s="1" a="1"/>
  <c r="K46" i="1" s="1"/>
  <c r="H46" i="1"/>
  <c r="G46" i="1"/>
  <c r="J45" i="1" a="1"/>
  <c r="J45" i="1"/>
  <c r="L45" i="1" s="1" a="1"/>
  <c r="L45" i="1" s="1"/>
  <c r="I45" i="1"/>
  <c r="K45" i="1" s="1" a="1"/>
  <c r="K45" i="1" s="1"/>
  <c r="H45" i="1"/>
  <c r="G45" i="1"/>
  <c r="J44" i="1" a="1"/>
  <c r="J44" i="1"/>
  <c r="L44" i="1" s="1" a="1"/>
  <c r="L44" i="1" s="1"/>
  <c r="I44" i="1"/>
  <c r="K44" i="1" s="1" a="1"/>
  <c r="K44" i="1" s="1"/>
  <c r="H44" i="1"/>
  <c r="G44" i="1"/>
  <c r="J43" i="1" a="1"/>
  <c r="J43" i="1"/>
  <c r="L43" i="1" s="1" a="1"/>
  <c r="L43" i="1" s="1"/>
  <c r="I43" i="1"/>
  <c r="K43" i="1" s="1" a="1"/>
  <c r="K43" i="1" s="1"/>
  <c r="H43" i="1"/>
  <c r="G43" i="1"/>
  <c r="J42" i="1" a="1"/>
  <c r="J42" i="1"/>
  <c r="L42" i="1" s="1" a="1"/>
  <c r="L42" i="1" s="1"/>
  <c r="I42" i="1"/>
  <c r="K42" i="1" s="1" a="1"/>
  <c r="K42" i="1" s="1"/>
  <c r="H42" i="1"/>
  <c r="G42" i="1"/>
  <c r="J41" i="1" a="1"/>
  <c r="J41" i="1"/>
  <c r="L41" i="1" s="1" a="1"/>
  <c r="L41" i="1" s="1"/>
  <c r="I41" i="1"/>
  <c r="K41" i="1" s="1" a="1"/>
  <c r="K41" i="1" s="1"/>
  <c r="H41" i="1"/>
  <c r="G41" i="1"/>
  <c r="J40" i="1" a="1"/>
  <c r="J40" i="1"/>
  <c r="L40" i="1" s="1" a="1"/>
  <c r="L40" i="1" s="1"/>
  <c r="I40" i="1"/>
  <c r="K40" i="1" s="1" a="1"/>
  <c r="K40" i="1" s="1"/>
  <c r="H40" i="1"/>
  <c r="G40" i="1"/>
  <c r="J39" i="1" a="1"/>
  <c r="J39" i="1"/>
  <c r="L39" i="1" s="1" a="1"/>
  <c r="L39" i="1" s="1"/>
  <c r="I39" i="1"/>
  <c r="K39" i="1" s="1" a="1"/>
  <c r="K39" i="1" s="1"/>
  <c r="H39" i="1"/>
  <c r="G39" i="1"/>
  <c r="J38" i="1" a="1"/>
  <c r="J38" i="1"/>
  <c r="L38" i="1" s="1" a="1"/>
  <c r="L38" i="1" s="1"/>
  <c r="I38" i="1"/>
  <c r="K38" i="1" s="1" a="1"/>
  <c r="K38" i="1" s="1"/>
  <c r="H38" i="1"/>
  <c r="G38" i="1"/>
  <c r="J37" i="1" a="1"/>
  <c r="J37" i="1"/>
  <c r="L37" i="1" s="1" a="1"/>
  <c r="L37" i="1" s="1"/>
  <c r="I37" i="1"/>
  <c r="K37" i="1" s="1" a="1"/>
  <c r="K37" i="1" s="1"/>
  <c r="H37" i="1"/>
  <c r="G37" i="1"/>
  <c r="J36" i="1" a="1"/>
  <c r="J36" i="1"/>
  <c r="L36" i="1" s="1" a="1"/>
  <c r="L36" i="1" s="1"/>
  <c r="I36" i="1"/>
  <c r="K36" i="1" s="1" a="1"/>
  <c r="K36" i="1" s="1"/>
  <c r="H36" i="1"/>
  <c r="G36" i="1"/>
  <c r="J35" i="1" a="1"/>
  <c r="J35" i="1"/>
  <c r="L35" i="1" s="1" a="1"/>
  <c r="L35" i="1" s="1"/>
  <c r="I35" i="1"/>
  <c r="K35" i="1" s="1" a="1"/>
  <c r="K35" i="1" s="1"/>
  <c r="H35" i="1"/>
  <c r="G35" i="1"/>
  <c r="J34" i="1" a="1"/>
  <c r="J34" i="1"/>
  <c r="L34" i="1" s="1" a="1"/>
  <c r="L34" i="1" s="1"/>
  <c r="I34" i="1"/>
  <c r="K34" i="1" s="1" a="1"/>
  <c r="K34" i="1" s="1"/>
  <c r="H34" i="1"/>
  <c r="G34" i="1"/>
  <c r="J33" i="1" a="1"/>
  <c r="J33" i="1"/>
  <c r="L33" i="1" s="1" a="1"/>
  <c r="L33" i="1" s="1"/>
  <c r="I33" i="1"/>
  <c r="K33" i="1" s="1" a="1"/>
  <c r="K33" i="1" s="1"/>
  <c r="H33" i="1"/>
  <c r="G33" i="1"/>
  <c r="J32" i="1" a="1"/>
  <c r="J32" i="1"/>
  <c r="L32" i="1" s="1" a="1"/>
  <c r="L32" i="1" s="1"/>
  <c r="I32" i="1"/>
  <c r="K32" i="1" s="1" a="1"/>
  <c r="K32" i="1" s="1"/>
  <c r="H32" i="1"/>
  <c r="G32" i="1"/>
  <c r="J31" i="1" a="1"/>
  <c r="J31" i="1"/>
  <c r="L31" i="1" s="1" a="1"/>
  <c r="L31" i="1" s="1"/>
  <c r="I31" i="1"/>
  <c r="K31" i="1" s="1" a="1"/>
  <c r="K31" i="1" s="1"/>
  <c r="H31" i="1"/>
  <c r="G31" i="1"/>
  <c r="J30" i="1" a="1"/>
  <c r="J30" i="1"/>
  <c r="L30" i="1" s="1" a="1"/>
  <c r="L30" i="1" s="1"/>
  <c r="I30" i="1"/>
  <c r="K30" i="1" s="1" a="1"/>
  <c r="K30" i="1" s="1"/>
  <c r="H30" i="1"/>
  <c r="G30" i="1"/>
  <c r="J29" i="1" a="1"/>
  <c r="J29" i="1"/>
  <c r="L29" i="1" s="1" a="1"/>
  <c r="L29" i="1" s="1"/>
  <c r="I29" i="1"/>
  <c r="K29" i="1" s="1" a="1"/>
  <c r="K29" i="1" s="1"/>
  <c r="H29" i="1"/>
  <c r="G29" i="1"/>
  <c r="J28" i="1" a="1"/>
  <c r="J28" i="1"/>
  <c r="L28" i="1" s="1" a="1"/>
  <c r="L28" i="1" s="1"/>
  <c r="I28" i="1"/>
  <c r="K28" i="1" s="1" a="1"/>
  <c r="K28" i="1" s="1"/>
  <c r="H28" i="1"/>
  <c r="G28" i="1"/>
  <c r="J27" i="1" a="1"/>
  <c r="J27" i="1"/>
  <c r="L27" i="1" s="1" a="1"/>
  <c r="L27" i="1" s="1"/>
  <c r="I27" i="1"/>
  <c r="K27" i="1" s="1" a="1"/>
  <c r="K27" i="1" s="1"/>
  <c r="H27" i="1"/>
  <c r="G27" i="1"/>
  <c r="J26" i="1" a="1"/>
  <c r="J26" i="1"/>
  <c r="L26" i="1" s="1" a="1"/>
  <c r="L26" i="1" s="1"/>
  <c r="I26" i="1"/>
  <c r="K26" i="1" s="1" a="1"/>
  <c r="K26" i="1" s="1"/>
  <c r="H26" i="1"/>
  <c r="G26" i="1"/>
  <c r="I25" i="1"/>
  <c r="H25" i="1"/>
  <c r="G25" i="1"/>
  <c r="J24" i="1" a="1"/>
  <c r="J24" i="1" s="1"/>
  <c r="L24" i="1" s="1" a="1"/>
  <c r="L24" i="1" s="1"/>
  <c r="I24" i="1"/>
  <c r="K24" i="1" s="1" a="1"/>
  <c r="K24" i="1" s="1"/>
  <c r="H24" i="1"/>
  <c r="G24" i="1"/>
  <c r="J23" i="1" a="1"/>
  <c r="J23" i="1"/>
  <c r="L23" i="1" s="1" a="1"/>
  <c r="L23" i="1" s="1"/>
  <c r="I23" i="1"/>
  <c r="K23" i="1" s="1" a="1"/>
  <c r="K23" i="1" s="1"/>
  <c r="H23" i="1"/>
  <c r="G23" i="1"/>
  <c r="J22" i="1" a="1"/>
  <c r="J22" i="1"/>
  <c r="L22" i="1" s="1" a="1"/>
  <c r="L22" i="1" s="1"/>
  <c r="I22" i="1"/>
  <c r="K22" i="1" s="1" a="1"/>
  <c r="K22" i="1" s="1"/>
  <c r="H22" i="1"/>
  <c r="G22" i="1"/>
  <c r="J21" i="1" a="1"/>
  <c r="J21" i="1"/>
  <c r="L21" i="1" s="1" a="1"/>
  <c r="L21" i="1" s="1"/>
  <c r="I21" i="1"/>
  <c r="K21" i="1" s="1" a="1"/>
  <c r="K21" i="1" s="1"/>
  <c r="H21" i="1"/>
  <c r="G21" i="1"/>
  <c r="J20" i="1" a="1"/>
  <c r="J20" i="1"/>
  <c r="L20" i="1" s="1" a="1"/>
  <c r="L20" i="1" s="1"/>
  <c r="I20" i="1"/>
  <c r="K20" i="1" s="1" a="1"/>
  <c r="K20" i="1" s="1"/>
  <c r="H20" i="1"/>
  <c r="G20" i="1"/>
  <c r="J19" i="1" a="1"/>
  <c r="J19" i="1"/>
  <c r="L19" i="1" s="1" a="1"/>
  <c r="L19" i="1" s="1"/>
  <c r="I19" i="1"/>
  <c r="K19" i="1" s="1" a="1"/>
  <c r="K19" i="1" s="1"/>
  <c r="H19" i="1"/>
  <c r="G19" i="1"/>
  <c r="J18" i="1" a="1"/>
  <c r="J18" i="1"/>
  <c r="L18" i="1" s="1" a="1"/>
  <c r="L18" i="1" s="1"/>
  <c r="I18" i="1"/>
  <c r="K18" i="1" s="1" a="1"/>
  <c r="K18" i="1" s="1"/>
  <c r="H18" i="1"/>
  <c r="G18" i="1"/>
  <c r="J17" i="1" a="1"/>
  <c r="J17" i="1"/>
  <c r="L17" i="1" s="1" a="1"/>
  <c r="L17" i="1" s="1"/>
  <c r="I17" i="1"/>
  <c r="K17" i="1" s="1" a="1"/>
  <c r="K17" i="1" s="1"/>
  <c r="H17" i="1"/>
  <c r="G17" i="1"/>
  <c r="J16" i="1" a="1"/>
  <c r="J16" i="1"/>
  <c r="L16" i="1" s="1" a="1"/>
  <c r="L16" i="1" s="1"/>
  <c r="I16" i="1"/>
  <c r="K16" i="1" s="1" a="1"/>
  <c r="K16" i="1" s="1"/>
  <c r="H16" i="1"/>
  <c r="G16" i="1"/>
  <c r="J15" i="1" a="1"/>
  <c r="J15" i="1"/>
  <c r="L15" i="1" s="1" a="1"/>
  <c r="L15" i="1" s="1"/>
  <c r="I15" i="1"/>
  <c r="K15" i="1" s="1" a="1"/>
  <c r="K15" i="1" s="1"/>
  <c r="H15" i="1"/>
  <c r="G15" i="1"/>
  <c r="J14" i="1" a="1"/>
  <c r="J14" i="1"/>
  <c r="L14" i="1" s="1" a="1"/>
  <c r="L14" i="1" s="1"/>
  <c r="I14" i="1"/>
  <c r="K14" i="1" s="1" a="1"/>
  <c r="K14" i="1" s="1"/>
  <c r="H14" i="1"/>
  <c r="G14" i="1"/>
  <c r="J13" i="1" a="1"/>
  <c r="J13" i="1"/>
  <c r="L13" i="1" s="1" a="1"/>
  <c r="L13" i="1" s="1"/>
  <c r="I13" i="1"/>
  <c r="K13" i="1" s="1" a="1"/>
  <c r="K13" i="1" s="1"/>
  <c r="H13" i="1"/>
  <c r="G13" i="1"/>
  <c r="J12" i="1" a="1"/>
  <c r="J12" i="1"/>
  <c r="L12" i="1" s="1" a="1"/>
  <c r="L12" i="1" s="1"/>
  <c r="I12" i="1"/>
  <c r="K12" i="1" s="1" a="1"/>
  <c r="K12" i="1" s="1"/>
  <c r="H12" i="1"/>
  <c r="G12" i="1"/>
  <c r="J11" i="1" a="1"/>
  <c r="J11" i="1"/>
  <c r="L11" i="1" s="1" a="1"/>
  <c r="L11" i="1" s="1"/>
  <c r="I11" i="1"/>
  <c r="K11" i="1" s="1" a="1"/>
  <c r="K11" i="1" s="1"/>
  <c r="H11" i="1"/>
  <c r="G11" i="1"/>
  <c r="J10" i="1" a="1"/>
  <c r="J10" i="1"/>
  <c r="L10" i="1" s="1" a="1"/>
  <c r="L10" i="1" s="1"/>
  <c r="I10" i="1"/>
  <c r="K10" i="1" s="1" a="1"/>
  <c r="K10" i="1" s="1"/>
  <c r="H10" i="1"/>
  <c r="G10" i="1"/>
  <c r="J9" i="1" a="1"/>
  <c r="J9" i="1"/>
  <c r="L9" i="1" s="1" a="1"/>
  <c r="L9" i="1" s="1"/>
  <c r="I9" i="1"/>
  <c r="K9" i="1" s="1" a="1"/>
  <c r="K9" i="1" s="1"/>
  <c r="H9" i="1"/>
  <c r="G9" i="1"/>
  <c r="J8" i="1" a="1"/>
  <c r="J8" i="1"/>
  <c r="L8" i="1" s="1" a="1"/>
  <c r="L8" i="1" s="1"/>
  <c r="I8" i="1"/>
  <c r="K8" i="1" s="1" a="1"/>
  <c r="K8" i="1" s="1"/>
  <c r="H8" i="1"/>
  <c r="G8" i="1"/>
  <c r="J7" i="1" a="1"/>
  <c r="J7" i="1"/>
  <c r="L7" i="1" s="1" a="1"/>
  <c r="L7" i="1" s="1"/>
  <c r="I7" i="1"/>
  <c r="K7" i="1" s="1" a="1"/>
  <c r="K7" i="1" s="1"/>
  <c r="H7" i="1"/>
  <c r="G7" i="1"/>
  <c r="J6" i="1" a="1"/>
  <c r="J6" i="1"/>
  <c r="L6" i="1" s="1" a="1"/>
  <c r="L6" i="1" s="1"/>
  <c r="I6" i="1"/>
  <c r="K6" i="1" s="1" a="1"/>
  <c r="K6" i="1" s="1"/>
  <c r="H6" i="1"/>
  <c r="G6" i="1"/>
  <c r="J5" i="1" a="1"/>
  <c r="J5" i="1"/>
  <c r="L5" i="1" s="1" a="1"/>
  <c r="L5" i="1" s="1"/>
  <c r="I5" i="1"/>
  <c r="K5" i="1" s="1" a="1"/>
  <c r="K5" i="1" s="1"/>
  <c r="H5" i="1"/>
  <c r="G5" i="1"/>
  <c r="J4" i="1" a="1"/>
  <c r="J4" i="1"/>
  <c r="L4" i="1" s="1" a="1"/>
  <c r="L4" i="1" s="1"/>
  <c r="I4" i="1"/>
  <c r="K4" i="1" s="1" a="1"/>
  <c r="K4" i="1" s="1"/>
  <c r="H4" i="1"/>
  <c r="G4" i="1"/>
  <c r="J3" i="1" a="1"/>
  <c r="J3" i="1"/>
  <c r="L3" i="1" s="1" a="1"/>
  <c r="L3" i="1" s="1"/>
  <c r="I3" i="1"/>
  <c r="K3" i="1" s="1" a="1"/>
  <c r="K3" i="1" s="1"/>
  <c r="H3" i="1"/>
  <c r="G3" i="1"/>
  <c r="J2" i="1" a="1"/>
  <c r="J2" i="1"/>
  <c r="L2" i="1" s="1" a="1"/>
  <c r="L2" i="1" s="1"/>
  <c r="I2" i="1"/>
  <c r="K2" i="1" s="1" a="1"/>
  <c r="K2" i="1" s="1"/>
  <c r="J463" i="1" l="1" a="1"/>
  <c r="J463" i="1" s="1"/>
  <c r="J527" i="1" a="1"/>
  <c r="J527" i="1" s="1"/>
  <c r="J25" i="1" a="1"/>
  <c r="J25" i="1" s="1"/>
  <c r="J213" i="1" a="1"/>
  <c r="J213" i="1" s="1"/>
  <c r="J276" i="1" a="1"/>
  <c r="J276" i="1" s="1"/>
  <c r="J588" i="1" a="1"/>
  <c r="J588" i="1" s="1"/>
  <c r="J526" i="1" a="1"/>
  <c r="J526" i="1" s="1"/>
  <c r="J589" i="1" a="1"/>
  <c r="J589" i="1" s="1"/>
  <c r="J464" i="1" a="1"/>
  <c r="J464" i="1" s="1"/>
  <c r="K463" i="1" l="1" a="1"/>
  <c r="K463" i="1" s="1"/>
  <c r="L463" i="1" a="1"/>
  <c r="L463" i="1" s="1"/>
  <c r="K527" i="1" a="1"/>
  <c r="K527" i="1" s="1"/>
  <c r="L527" i="1" a="1"/>
  <c r="L527" i="1" s="1"/>
  <c r="K25" i="1" a="1"/>
  <c r="K25" i="1" s="1"/>
  <c r="L25" i="1" a="1"/>
  <c r="L25" i="1" s="1"/>
  <c r="K213" i="1" a="1"/>
  <c r="K213" i="1" s="1"/>
  <c r="L213" i="1" a="1"/>
  <c r="L213" i="1" s="1"/>
  <c r="K276" i="1" a="1"/>
  <c r="K276" i="1" s="1"/>
  <c r="L276" i="1" a="1"/>
  <c r="L276" i="1" s="1"/>
  <c r="K588" i="1" a="1"/>
  <c r="K588" i="1" s="1"/>
  <c r="L588" i="1" a="1"/>
  <c r="L588" i="1" s="1"/>
  <c r="K526" i="1" a="1"/>
  <c r="K526" i="1" s="1"/>
  <c r="L526" i="1" a="1"/>
  <c r="L526" i="1" s="1"/>
  <c r="K589" i="1" a="1"/>
  <c r="K589" i="1" s="1"/>
  <c r="L589" i="1" a="1"/>
  <c r="L589" i="1" s="1"/>
  <c r="K464" i="1" a="1"/>
  <c r="K464" i="1" s="1"/>
  <c r="L464" i="1" a="1"/>
  <c r="L464" i="1" s="1"/>
</calcChain>
</file>

<file path=xl/sharedStrings.xml><?xml version="1.0" encoding="utf-8"?>
<sst xmlns="http://schemas.openxmlformats.org/spreadsheetml/2006/main" count="196" uniqueCount="97">
  <si>
    <t>Date</t>
  </si>
  <si>
    <t>Open</t>
  </si>
  <si>
    <t>High</t>
  </si>
  <si>
    <t>Low</t>
  </si>
  <si>
    <t>Close</t>
  </si>
  <si>
    <t>Volume</t>
  </si>
  <si>
    <t>Return</t>
  </si>
  <si>
    <t>%ΔVolume</t>
  </si>
  <si>
    <t>Event</t>
  </si>
  <si>
    <t>Event_ID</t>
  </si>
  <si>
    <t>Periode_Event</t>
  </si>
  <si>
    <t>Rumor_Event</t>
  </si>
  <si>
    <t>Parameter</t>
  </si>
  <si>
    <t>Tanggal</t>
  </si>
  <si>
    <t>Nilai</t>
  </si>
  <si>
    <t>Keterangan</t>
  </si>
  <si>
    <t>Isi_Topik_Rumor</t>
  </si>
  <si>
    <t>Status_Klarifikasi</t>
  </si>
  <si>
    <t>Lebar jendela Pre/Post (hari bursa)</t>
  </si>
  <si>
    <t>Rumor (1=Rumor, 0=Non-Rumor)</t>
  </si>
  <si>
    <t>Nomor_Surat</t>
  </si>
  <si>
    <t>Baris_Data_BYAN</t>
  </si>
  <si>
    <t>E01</t>
  </si>
  <si>
    <t>Volatilitas transaksi efek &amp; laporan pembelian saham oleh pemegang saham</t>
  </si>
  <si>
    <t>Dijelaskan</t>
  </si>
  <si>
    <t>509/BR-IDX/VI/2024</t>
  </si>
  <si>
    <t>-</t>
  </si>
  <si>
    <t>E02</t>
  </si>
  <si>
    <t>Hibah 22% saham Dato' Low Tuck Kwong kepada Elaine Low untuk suksesi keluarga</t>
  </si>
  <si>
    <t>Dikonfirmasi</t>
  </si>
  <si>
    <t>816/BR-IDX/VIII/2024</t>
  </si>
  <si>
    <t>E03</t>
  </si>
  <si>
    <t>Volatilitas transaksi efek &amp; laporan penjualan saham oleh pemegang saham</t>
  </si>
  <si>
    <t>138/BR-IDX/IV/2026</t>
  </si>
  <si>
    <t>E04</t>
  </si>
  <si>
    <t>Dampak rencana Peraturan Pemerintah (PP) Tata Kelola Ekspor SDA terhadap operasional</t>
  </si>
  <si>
    <t>227/BR-IDX/V/2026</t>
  </si>
  <si>
    <t>E05</t>
  </si>
  <si>
    <t>Rumor akuisisi 62,2% saham BYAN oleh Jhonlin Grup / Haji Isam</t>
  </si>
  <si>
    <t>Dibantah</t>
  </si>
  <si>
    <t>187/BR-IDX/VIII/2026</t>
  </si>
  <si>
    <t>E06</t>
  </si>
  <si>
    <t>Volatilitas transaksi efek pasca rumor pengambilalihan perseroan</t>
  </si>
  <si>
    <t>390/BR-BEI/VIII/2026</t>
  </si>
  <si>
    <t>E07</t>
  </si>
  <si>
    <t>Pemberitaan media mengenai perolehan kuota produksi tambahan hingga 20 juta ton</t>
  </si>
  <si>
    <t>E08</t>
  </si>
  <si>
    <t>Penandatanganan CSPA 30% saham BYAN ke PT Jhonlin Baratama &amp; persetujuan RKAB 2026</t>
  </si>
  <si>
    <t>516/BR-IDX/IX/2026</t>
  </si>
  <si>
    <t>Variabel</t>
  </si>
  <si>
    <t>Sheet</t>
  </si>
  <si>
    <t>Deskripsi singkat</t>
  </si>
  <si>
    <t>Tipe data</t>
  </si>
  <si>
    <t>Skala pengukuran</t>
  </si>
  <si>
    <t>Satuan</t>
  </si>
  <si>
    <t>Missing value</t>
  </si>
  <si>
    <t>BYAN_Analysis</t>
  </si>
  <si>
    <t>Tanggal hari bursa</t>
  </si>
  <si>
    <t>Tanggal (waktu)</t>
  </si>
  <si>
    <t>Interval</t>
  </si>
  <si>
    <t>dd/mm/yyyy</t>
  </si>
  <si>
    <t>Tidak ada</t>
  </si>
  <si>
    <t>Harga pembukaan</t>
  </si>
  <si>
    <t>Numerik diskrit</t>
  </si>
  <si>
    <t>Rasio</t>
  </si>
  <si>
    <t>Rp</t>
  </si>
  <si>
    <t>Harga tertinggi harian</t>
  </si>
  <si>
    <t>Harga terendah harian</t>
  </si>
  <si>
    <t>Harga penutupan</t>
  </si>
  <si>
    <t>Jumlah saham diperdagangkan</t>
  </si>
  <si>
    <t>Return harian sederhana dari Close</t>
  </si>
  <si>
    <t>Numerik kontinu</t>
  </si>
  <si>
    <t>Proporsi (ditampilkan %)</t>
  </si>
  <si>
    <t>Baris pertama kosong (tidak ada hari sebelumnya)</t>
  </si>
  <si>
    <t>Perubahan volume harian</t>
  </si>
  <si>
    <t>Baris pertama kosong</t>
  </si>
  <si>
    <t>1 = hari terbit informasi/klarifikasi, 0 = bukan</t>
  </si>
  <si>
    <t>Kategorik biner</t>
  </si>
  <si>
    <t>Nominal</t>
  </si>
  <si>
    <t>Kode event (E01-E08) yang jendelanya mencakup hari tersebut; "-" jika di luar jendela</t>
  </si>
  <si>
    <t>Kategorik</t>
  </si>
  <si>
    <t>"-" = di luar jendela (bukan missing)</t>
  </si>
  <si>
    <t>Event / Pre / Post / Normal</t>
  </si>
  <si>
    <t>Status rumor dari event pada Event_ID: 1 = rumor, 0 = non-rumor, "-" = di luar jendela</t>
  </si>
  <si>
    <t>Event_Rumor</t>
  </si>
  <si>
    <t>Kode unik event</t>
  </si>
  <si>
    <t>Tanggal surat/pemberitaan</t>
  </si>
  <si>
    <t>Ringkasan isi informasi/rumor</t>
  </si>
  <si>
    <t>Teks</t>
  </si>
  <si>
    <t>Dijelaskan / Dikonfirmasi / Dibantah</t>
  </si>
  <si>
    <t>Penanda apakah event berupa rumor</t>
  </si>
  <si>
    <t>Nomor surat keterbukaan informasi / sumber pemberitaan</t>
  </si>
  <si>
    <t>Nomor baris tanggal event di sheet BYAN_Analysis (rumus MATCH)</t>
  </si>
  <si>
    <t>nomor baris</t>
  </si>
  <si>
    <t>Surat 516/BR-IDX/IX/2026 &amp; Media Kompas (https://money.kompas.com/read/2026/09/21/133108026/sempat-terkendala-rkab-byan-dapat-tambahan-kuota-produksi-hingga-20-juta-ton)</t>
  </si>
  <si>
    <t>Asumsi analisis (bisa diubah). Digunakan untuk rumus Event_ID dan Periode_Event di sheet BYAN_Analysis.</t>
  </si>
  <si>
    <t>Lot (1 Lot 100 Lembar Saham)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</si>
</sst>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0000FF"/>
      <name val="Arial"/>
    </font>
    <font>
      <sz val="11"/>
      <color theme="1"/>
      <name val="Calibri"/>
    </font>
    <font>
      <i/>
      <sz val="9"/>
      <color theme="1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wrapText="1"/>
    </xf>
    <xf numFmtId="3" fontId="2" fillId="0" borderId="1" xfId="0" applyNumberFormat="1" applyFont="1" applyBorder="1"/>
    <xf numFmtId="1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/>
    </xf>
    <xf numFmtId="14" fontId="2" fillId="0" borderId="4" xfId="0" applyNumberFormat="1" applyFont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top"/>
    </xf>
    <xf numFmtId="14" fontId="6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14" fontId="6" fillId="0" borderId="18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 wrapText="1"/>
    </xf>
    <xf numFmtId="0" fontId="6" fillId="0" borderId="18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7" fillId="0" borderId="5" xfId="0" applyFont="1" applyBorder="1" applyAlignment="1">
      <alignment vertical="top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617FA2-0687-4566-92AC-88510EF79BDF}" name="Table3" displayName="Table3" ref="A1:L651" totalsRowShown="0" headerRowDxfId="12" dataDxfId="13" tableBorderDxfId="26">
  <autoFilter ref="A1:L651" xr:uid="{04617FA2-0687-4566-92AC-88510EF79BDF}"/>
  <tableColumns count="12">
    <tableColumn id="1" xr3:uid="{62B6BCAC-9064-4259-917D-8BE8FB04F1E9}" name="Date" dataDxfId="25"/>
    <tableColumn id="2" xr3:uid="{32992500-C130-430C-92FB-437D863F1345}" name="Open" dataDxfId="24"/>
    <tableColumn id="3" xr3:uid="{F6081BF9-490C-4084-942D-39BFAA77B68B}" name="High" dataDxfId="23"/>
    <tableColumn id="4" xr3:uid="{040ED64F-CF9F-43F7-9B99-93BEDE8D85B8}" name="Low" dataDxfId="22"/>
    <tableColumn id="5" xr3:uid="{FC233972-95BD-4FF1-AA54-A152D5D7511C}" name="Close" dataDxfId="21"/>
    <tableColumn id="6" xr3:uid="{2A9CE872-8606-4BB7-ADEC-6DA1E8A054DF}" name="Volume" dataDxfId="20"/>
    <tableColumn id="7" xr3:uid="{1B4A61E5-DECD-4B8E-85DA-935DF205ACB2}" name="Return" dataDxfId="19">
      <calculatedColumnFormula>(E2-E1)/E1</calculatedColumnFormula>
    </tableColumn>
    <tableColumn id="8" xr3:uid="{7EF1A489-13B0-4AF0-A60D-A3ADDC8C376F}" name="%ΔVolume" dataDxfId="18">
      <calculatedColumnFormula>(F2-F1)/F1</calculatedColumnFormula>
    </tableColumn>
    <tableColumn id="9" xr3:uid="{B632F3EE-8D8B-489B-B8A3-60A5C6F7C476}" name="Event" dataDxfId="17">
      <calculatedColumnFormula>IF(COUNTIF(Event_Rumor!$B$2:$B$9,A2)&gt;0,1,0)</calculatedColumnFormula>
    </tableColumn>
    <tableColumn id="10" xr3:uid="{47F6940A-C523-4858-A0EE-F41D7C516B80}" name="Event_ID" dataDxfId="16">
      <calculatedColumnFormula array="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calculatedColumnFormula>
    </tableColumn>
    <tableColumn id="11" xr3:uid="{18CEC035-8701-484C-A358-A1DE0E18ECFE}" name="Periode_Event" dataDxfId="15">
      <calculatedColumnFormula array="1">IF(I2=1,"Event",IF(J2="-","Normal",IF(INDEX(Event_Rumor!$G$2:$G$9,MATCH(J2,Event_Rumor!$A$2:$A$9,0))&gt;ROW(),"Pre","Post")))</calculatedColumnFormula>
    </tableColumn>
    <tableColumn id="12" xr3:uid="{DA0EC9C1-8C82-4789-81E8-E2649CD407BE}" name="Rumor_Event" dataDxfId="14">
      <calculatedColumnFormula array="1">IF(J2="-","-",INDEX(Event_Rumor!$E$2:$E$9,MATCH(J2,Event_Rumor!$A$2:$A$9,0)))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5A3D7-59A9-43A5-A703-9389EFF2B2E2}" name="Table2" displayName="Table2" ref="A1:G9" totalsRowShown="0" headerRowDxfId="0" dataDxfId="11" headerRowBorderDxfId="9" tableBorderDxfId="10" totalsRowBorderDxfId="8">
  <autoFilter ref="A1:G9" xr:uid="{4005A3D7-59A9-43A5-A703-9389EFF2B2E2}"/>
  <tableColumns count="7">
    <tableColumn id="1" xr3:uid="{6C94C6C4-63CE-4A54-BD73-3A4B3F8C46FE}" name="Event_ID" dataDxfId="7"/>
    <tableColumn id="2" xr3:uid="{F7F7D25D-7B3B-4514-9D78-DB89B24D96B3}" name="Tanggal" dataDxfId="6"/>
    <tableColumn id="3" xr3:uid="{FEB1E4AE-0FDE-4328-932A-E4F311234C17}" name="Isi_Topik_Rumor" dataDxfId="5"/>
    <tableColumn id="4" xr3:uid="{AAC93816-B5FE-41C5-BEF4-6C1FFA4E0021}" name="Status_Klarifikasi" dataDxfId="4"/>
    <tableColumn id="5" xr3:uid="{0C218A7A-BD31-43F1-9A5D-C2DEC1827766}" name="Rumor (1=Rumor, 0=Non-Rumor)" dataDxfId="3"/>
    <tableColumn id="6" xr3:uid="{58F95C86-D735-4255-A3AD-F11A962D4788}" name="Nomor_Surat" dataDxfId="2"/>
    <tableColumn id="7" xr3:uid="{C045E876-AB87-4309-8554-7E43E7401946}" name="Baris_Data_BYAN" dataDxfId="1">
      <calculatedColumnFormula>MATCH(B2,BYAN_Analysis!$A$2:$A$651,0)+1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B7DE4-B64D-49BB-87AE-264C4377AE98}" name="Table1" displayName="Table1" ref="A1:G20" totalsRowShown="0" headerRowDxfId="27" dataDxfId="28" headerRowBorderDxfId="37" tableBorderDxfId="38" totalsRowBorderDxfId="36">
  <autoFilter ref="A1:G20" xr:uid="{DD7B7DE4-B64D-49BB-87AE-264C4377AE98}"/>
  <tableColumns count="7">
    <tableColumn id="1" xr3:uid="{9D928E87-FC0F-4792-A050-5AF00BDF5560}" name="Variabel" dataDxfId="35"/>
    <tableColumn id="2" xr3:uid="{1EAD52DE-427A-470E-9350-620C2492E0EC}" name="Sheet" dataDxfId="34"/>
    <tableColumn id="3" xr3:uid="{585112FC-F675-4811-9F4E-DF59C203D76B}" name="Deskripsi singkat" dataDxfId="33"/>
    <tableColumn id="4" xr3:uid="{6D125980-9158-440C-8EA9-4DFE460FB27F}" name="Tipe data" dataDxfId="32"/>
    <tableColumn id="5" xr3:uid="{B674D7F0-8983-450C-84B7-3BFF12C86C2D}" name="Skala pengukuran" dataDxfId="31"/>
    <tableColumn id="6" xr3:uid="{1D8D4491-D645-41F8-B8E9-9D72A446947F}" name="Satuan" dataDxfId="30"/>
    <tableColumn id="7" xr3:uid="{C7717D44-93DB-49FB-A929-00CA5685A4E5}" name="Missing value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656" sqref="H656"/>
    </sheetView>
  </sheetViews>
  <sheetFormatPr defaultColWidth="14.44140625" defaultRowHeight="15" customHeight="1" x14ac:dyDescent="0.3"/>
  <cols>
    <col min="1" max="1" width="12" customWidth="1"/>
    <col min="2" max="5" width="10" customWidth="1"/>
    <col min="6" max="6" width="14" customWidth="1"/>
    <col min="7" max="7" width="10" customWidth="1"/>
    <col min="8" max="8" width="12.44140625" customWidth="1"/>
    <col min="9" max="9" width="8" customWidth="1"/>
    <col min="10" max="10" width="10.6640625" customWidth="1"/>
    <col min="11" max="11" width="15.5546875" customWidth="1"/>
    <col min="12" max="12" width="14.77734375" customWidth="1"/>
    <col min="13" max="26" width="8.6640625" customWidth="1"/>
  </cols>
  <sheetData>
    <row r="1" spans="1:12" ht="39.75" customHeight="1" x14ac:dyDescent="0.3">
      <c r="A1" s="2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5" customHeight="1" x14ac:dyDescent="0.3">
      <c r="A2" s="26">
        <v>45293</v>
      </c>
      <c r="B2" s="6">
        <v>18869</v>
      </c>
      <c r="C2" s="6">
        <v>18988</v>
      </c>
      <c r="D2" s="6">
        <v>18702</v>
      </c>
      <c r="E2" s="6">
        <v>18988</v>
      </c>
      <c r="F2" s="6">
        <v>53800</v>
      </c>
      <c r="G2" s="7"/>
      <c r="H2" s="7"/>
      <c r="I2" s="8">
        <f>IF(COUNTIF(Event_Rumor!$B$2:$B$9,A2)&gt;0,1,0)</f>
        <v>0</v>
      </c>
      <c r="J2" s="8" t="str">
        <f t="array" ref="J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" s="8" t="str">
        <f t="array" ref="K2">IF(I2=1,"Event",IF(J2="-","Normal",IF(INDEX(Event_Rumor!$G$2:$G$9,MATCH(J2,Event_Rumor!$A$2:$A$9,0))&gt;ROW(),"Pre","Post")))</f>
        <v>Normal</v>
      </c>
      <c r="L2" s="11" t="str">
        <f t="array" ref="L2">IF(J2="-","-",INDEX(Event_Rumor!$E$2:$E$9,MATCH(J2,Event_Rumor!$A$2:$A$9,0)))</f>
        <v>-</v>
      </c>
    </row>
    <row r="3" spans="1:12" ht="15" customHeight="1" x14ac:dyDescent="0.3">
      <c r="A3" s="26">
        <v>45294</v>
      </c>
      <c r="B3" s="6">
        <v>18988</v>
      </c>
      <c r="C3" s="6">
        <v>18988</v>
      </c>
      <c r="D3" s="6">
        <v>18655</v>
      </c>
      <c r="E3" s="6">
        <v>18655</v>
      </c>
      <c r="F3" s="6">
        <v>56100</v>
      </c>
      <c r="G3" s="7">
        <f t="shared" ref="G3:H3" si="0">(E3-E2)/E2</f>
        <v>-1.7537392037076049E-2</v>
      </c>
      <c r="H3" s="7">
        <f t="shared" si="0"/>
        <v>4.2750929368029739E-2</v>
      </c>
      <c r="I3" s="8">
        <f>IF(COUNTIF(Event_Rumor!$B$2:$B$9,A3)&gt;0,1,0)</f>
        <v>0</v>
      </c>
      <c r="J3" s="8" t="str">
        <f t="array" ref="J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" s="8" t="str">
        <f t="array" ref="K3">IF(I3=1,"Event",IF(J3="-","Normal",IF(INDEX(Event_Rumor!$G$2:$G$9,MATCH(J3,Event_Rumor!$A$2:$A$9,0))&gt;ROW(),"Pre","Post")))</f>
        <v>Normal</v>
      </c>
      <c r="L3" s="11" t="str">
        <f t="array" ref="L3">IF(J3="-","-",INDEX(Event_Rumor!$E$2:$E$9,MATCH(J3,Event_Rumor!$A$2:$A$9,0)))</f>
        <v>-</v>
      </c>
    </row>
    <row r="4" spans="1:12" ht="15" customHeight="1" x14ac:dyDescent="0.3">
      <c r="A4" s="26">
        <v>45295</v>
      </c>
      <c r="B4" s="6">
        <v>18678</v>
      </c>
      <c r="C4" s="6">
        <v>18678</v>
      </c>
      <c r="D4" s="6">
        <v>18321</v>
      </c>
      <c r="E4" s="6">
        <v>18583</v>
      </c>
      <c r="F4" s="6">
        <v>112500</v>
      </c>
      <c r="G4" s="7">
        <f t="shared" ref="G4:H4" si="1">(E4-E3)/E3</f>
        <v>-3.8595550790672742E-3</v>
      </c>
      <c r="H4" s="7">
        <f t="shared" si="1"/>
        <v>1.0053475935828877</v>
      </c>
      <c r="I4" s="8">
        <f>IF(COUNTIF(Event_Rumor!$B$2:$B$9,A4)&gt;0,1,0)</f>
        <v>0</v>
      </c>
      <c r="J4" s="8" t="str">
        <f t="array" ref="J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" s="8" t="str">
        <f t="array" ref="K4">IF(I4=1,"Event",IF(J4="-","Normal",IF(INDEX(Event_Rumor!$G$2:$G$9,MATCH(J4,Event_Rumor!$A$2:$A$9,0))&gt;ROW(),"Pre","Post")))</f>
        <v>Normal</v>
      </c>
      <c r="L4" s="11" t="str">
        <f t="array" ref="L4">IF(J4="-","-",INDEX(Event_Rumor!$E$2:$E$9,MATCH(J4,Event_Rumor!$A$2:$A$9,0)))</f>
        <v>-</v>
      </c>
    </row>
    <row r="5" spans="1:12" ht="15" customHeight="1" x14ac:dyDescent="0.3">
      <c r="A5" s="26">
        <v>45296</v>
      </c>
      <c r="B5" s="6">
        <v>18631</v>
      </c>
      <c r="C5" s="6">
        <v>18964</v>
      </c>
      <c r="D5" s="6">
        <v>18559</v>
      </c>
      <c r="E5" s="6">
        <v>18940</v>
      </c>
      <c r="F5" s="6">
        <v>130600</v>
      </c>
      <c r="G5" s="7">
        <f t="shared" ref="G5:H5" si="2">(E5-E4)/E4</f>
        <v>1.9211106925684767E-2</v>
      </c>
      <c r="H5" s="7">
        <f t="shared" si="2"/>
        <v>0.16088888888888889</v>
      </c>
      <c r="I5" s="8">
        <f>IF(COUNTIF(Event_Rumor!$B$2:$B$9,A5)&gt;0,1,0)</f>
        <v>0</v>
      </c>
      <c r="J5" s="8" t="str">
        <f t="array" ref="J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" s="8" t="str">
        <f t="array" ref="K5">IF(I5=1,"Event",IF(J5="-","Normal",IF(INDEX(Event_Rumor!$G$2:$G$9,MATCH(J5,Event_Rumor!$A$2:$A$9,0))&gt;ROW(),"Pre","Post")))</f>
        <v>Normal</v>
      </c>
      <c r="L5" s="11" t="str">
        <f t="array" ref="L5">IF(J5="-","-",INDEX(Event_Rumor!$E$2:$E$9,MATCH(J5,Event_Rumor!$A$2:$A$9,0)))</f>
        <v>-</v>
      </c>
    </row>
    <row r="6" spans="1:12" ht="15" customHeight="1" x14ac:dyDescent="0.3">
      <c r="A6" s="26">
        <v>45299</v>
      </c>
      <c r="B6" s="6">
        <v>19035</v>
      </c>
      <c r="C6" s="6">
        <v>19035</v>
      </c>
      <c r="D6" s="6">
        <v>18607</v>
      </c>
      <c r="E6" s="6">
        <v>18821</v>
      </c>
      <c r="F6" s="6">
        <v>60900</v>
      </c>
      <c r="G6" s="7">
        <f t="shared" ref="G6:H6" si="3">(E6-E5)/E5</f>
        <v>-6.282998944033791E-3</v>
      </c>
      <c r="H6" s="7">
        <f t="shared" si="3"/>
        <v>-0.53369065849923425</v>
      </c>
      <c r="I6" s="8">
        <f>IF(COUNTIF(Event_Rumor!$B$2:$B$9,A6)&gt;0,1,0)</f>
        <v>0</v>
      </c>
      <c r="J6" s="8" t="str">
        <f t="array" ref="J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" s="8" t="str">
        <f t="array" ref="K6">IF(I6=1,"Event",IF(J6="-","Normal",IF(INDEX(Event_Rumor!$G$2:$G$9,MATCH(J6,Event_Rumor!$A$2:$A$9,0))&gt;ROW(),"Pre","Post")))</f>
        <v>Normal</v>
      </c>
      <c r="L6" s="11" t="str">
        <f t="array" ref="L6">IF(J6="-","-",INDEX(Event_Rumor!$E$2:$E$9,MATCH(J6,Event_Rumor!$A$2:$A$9,0)))</f>
        <v>-</v>
      </c>
    </row>
    <row r="7" spans="1:12" ht="15" customHeight="1" x14ac:dyDescent="0.3">
      <c r="A7" s="26">
        <v>45300</v>
      </c>
      <c r="B7" s="6">
        <v>18750</v>
      </c>
      <c r="C7" s="6">
        <v>18940</v>
      </c>
      <c r="D7" s="6">
        <v>18750</v>
      </c>
      <c r="E7" s="6">
        <v>18940</v>
      </c>
      <c r="F7" s="6">
        <v>138600</v>
      </c>
      <c r="G7" s="7">
        <f t="shared" ref="G7:H7" si="4">(E7-E6)/E6</f>
        <v>6.3227246161202911E-3</v>
      </c>
      <c r="H7" s="7">
        <f t="shared" si="4"/>
        <v>1.2758620689655173</v>
      </c>
      <c r="I7" s="8">
        <f>IF(COUNTIF(Event_Rumor!$B$2:$B$9,A7)&gt;0,1,0)</f>
        <v>0</v>
      </c>
      <c r="J7" s="8" t="str">
        <f t="array" ref="J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" s="8" t="str">
        <f t="array" ref="K7">IF(I7=1,"Event",IF(J7="-","Normal",IF(INDEX(Event_Rumor!$G$2:$G$9,MATCH(J7,Event_Rumor!$A$2:$A$9,0))&gt;ROW(),"Pre","Post")))</f>
        <v>Normal</v>
      </c>
      <c r="L7" s="11" t="str">
        <f t="array" ref="L7">IF(J7="-","-",INDEX(Event_Rumor!$E$2:$E$9,MATCH(J7,Event_Rumor!$A$2:$A$9,0)))</f>
        <v>-</v>
      </c>
    </row>
    <row r="8" spans="1:12" ht="15" customHeight="1" x14ac:dyDescent="0.3">
      <c r="A8" s="26">
        <v>45301</v>
      </c>
      <c r="B8" s="6">
        <v>18940</v>
      </c>
      <c r="C8" s="6">
        <v>18940</v>
      </c>
      <c r="D8" s="6">
        <v>18845</v>
      </c>
      <c r="E8" s="6">
        <v>18869</v>
      </c>
      <c r="F8" s="6">
        <v>25700</v>
      </c>
      <c r="G8" s="7">
        <f t="shared" ref="G8:H8" si="5">(E8-E7)/E7</f>
        <v>-3.7486800422386482E-3</v>
      </c>
      <c r="H8" s="7">
        <f t="shared" si="5"/>
        <v>-0.81457431457431462</v>
      </c>
      <c r="I8" s="8">
        <f>IF(COUNTIF(Event_Rumor!$B$2:$B$9,A8)&gt;0,1,0)</f>
        <v>0</v>
      </c>
      <c r="J8" s="8" t="str">
        <f t="array" ref="J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" s="8" t="str">
        <f t="array" ref="K8">IF(I8=1,"Event",IF(J8="-","Normal",IF(INDEX(Event_Rumor!$G$2:$G$9,MATCH(J8,Event_Rumor!$A$2:$A$9,0))&gt;ROW(),"Pre","Post")))</f>
        <v>Normal</v>
      </c>
      <c r="L8" s="11" t="str">
        <f t="array" ref="L8">IF(J8="-","-",INDEX(Event_Rumor!$E$2:$E$9,MATCH(J8,Event_Rumor!$A$2:$A$9,0)))</f>
        <v>-</v>
      </c>
    </row>
    <row r="9" spans="1:12" ht="15" customHeight="1" x14ac:dyDescent="0.3">
      <c r="A9" s="26">
        <v>45302</v>
      </c>
      <c r="B9" s="6">
        <v>18797</v>
      </c>
      <c r="C9" s="6">
        <v>18869</v>
      </c>
      <c r="D9" s="6">
        <v>18655</v>
      </c>
      <c r="E9" s="6">
        <v>18797</v>
      </c>
      <c r="F9" s="6">
        <v>188600</v>
      </c>
      <c r="G9" s="7">
        <f t="shared" ref="G9:H9" si="6">(E9-E8)/E8</f>
        <v>-3.8157825003974771E-3</v>
      </c>
      <c r="H9" s="7">
        <f t="shared" si="6"/>
        <v>6.3385214007782098</v>
      </c>
      <c r="I9" s="8">
        <f>IF(COUNTIF(Event_Rumor!$B$2:$B$9,A9)&gt;0,1,0)</f>
        <v>0</v>
      </c>
      <c r="J9" s="8" t="str">
        <f t="array" ref="J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" s="8" t="str">
        <f t="array" ref="K9">IF(I9=1,"Event",IF(J9="-","Normal",IF(INDEX(Event_Rumor!$G$2:$G$9,MATCH(J9,Event_Rumor!$A$2:$A$9,0))&gt;ROW(),"Pre","Post")))</f>
        <v>Normal</v>
      </c>
      <c r="L9" s="11" t="str">
        <f t="array" ref="L9">IF(J9="-","-",INDEX(Event_Rumor!$E$2:$E$9,MATCH(J9,Event_Rumor!$A$2:$A$9,0)))</f>
        <v>-</v>
      </c>
    </row>
    <row r="10" spans="1:12" ht="15" customHeight="1" x14ac:dyDescent="0.3">
      <c r="A10" s="26">
        <v>45303</v>
      </c>
      <c r="B10" s="6">
        <v>18797</v>
      </c>
      <c r="C10" s="6">
        <v>18797</v>
      </c>
      <c r="D10" s="6">
        <v>18607</v>
      </c>
      <c r="E10" s="6">
        <v>18750</v>
      </c>
      <c r="F10" s="6">
        <v>76600</v>
      </c>
      <c r="G10" s="7">
        <f t="shared" ref="G10:H10" si="7">(E10-E9)/E9</f>
        <v>-2.5003989998404002E-3</v>
      </c>
      <c r="H10" s="7">
        <f t="shared" si="7"/>
        <v>-0.59384941675503711</v>
      </c>
      <c r="I10" s="8">
        <f>IF(COUNTIF(Event_Rumor!$B$2:$B$9,A10)&gt;0,1,0)</f>
        <v>0</v>
      </c>
      <c r="J10" s="8" t="str">
        <f t="array" ref="J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0" s="8" t="str">
        <f t="array" ref="K10">IF(I10=1,"Event",IF(J10="-","Normal",IF(INDEX(Event_Rumor!$G$2:$G$9,MATCH(J10,Event_Rumor!$A$2:$A$9,0))&gt;ROW(),"Pre","Post")))</f>
        <v>Normal</v>
      </c>
      <c r="L10" s="11" t="str">
        <f t="array" ref="L10">IF(J10="-","-",INDEX(Event_Rumor!$E$2:$E$9,MATCH(J10,Event_Rumor!$A$2:$A$9,0)))</f>
        <v>-</v>
      </c>
    </row>
    <row r="11" spans="1:12" ht="15" customHeight="1" x14ac:dyDescent="0.3">
      <c r="A11" s="26">
        <v>45306</v>
      </c>
      <c r="B11" s="6">
        <v>18702</v>
      </c>
      <c r="C11" s="6">
        <v>18845</v>
      </c>
      <c r="D11" s="6">
        <v>18702</v>
      </c>
      <c r="E11" s="6">
        <v>18797</v>
      </c>
      <c r="F11" s="6">
        <v>28800</v>
      </c>
      <c r="G11" s="7">
        <f t="shared" ref="G11:H11" si="8">(E11-E10)/E10</f>
        <v>2.5066666666666666E-3</v>
      </c>
      <c r="H11" s="7">
        <f t="shared" si="8"/>
        <v>-0.62402088772845954</v>
      </c>
      <c r="I11" s="8">
        <f>IF(COUNTIF(Event_Rumor!$B$2:$B$9,A11)&gt;0,1,0)</f>
        <v>0</v>
      </c>
      <c r="J11" s="8" t="str">
        <f t="array" ref="J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1" s="8" t="str">
        <f t="array" ref="K11">IF(I11=1,"Event",IF(J11="-","Normal",IF(INDEX(Event_Rumor!$G$2:$G$9,MATCH(J11,Event_Rumor!$A$2:$A$9,0))&gt;ROW(),"Pre","Post")))</f>
        <v>Normal</v>
      </c>
      <c r="L11" s="11" t="str">
        <f t="array" ref="L11">IF(J11="-","-",INDEX(Event_Rumor!$E$2:$E$9,MATCH(J11,Event_Rumor!$A$2:$A$9,0)))</f>
        <v>-</v>
      </c>
    </row>
    <row r="12" spans="1:12" ht="15" customHeight="1" x14ac:dyDescent="0.3">
      <c r="A12" s="26">
        <v>45307</v>
      </c>
      <c r="B12" s="6">
        <v>18797</v>
      </c>
      <c r="C12" s="6">
        <v>18821</v>
      </c>
      <c r="D12" s="6">
        <v>18655</v>
      </c>
      <c r="E12" s="6">
        <v>18821</v>
      </c>
      <c r="F12" s="6">
        <v>52600</v>
      </c>
      <c r="G12" s="7">
        <f t="shared" ref="G12:H12" si="9">(E12-E11)/E11</f>
        <v>1.2767994892802044E-3</v>
      </c>
      <c r="H12" s="7">
        <f t="shared" si="9"/>
        <v>0.82638888888888884</v>
      </c>
      <c r="I12" s="8">
        <f>IF(COUNTIF(Event_Rumor!$B$2:$B$9,A12)&gt;0,1,0)</f>
        <v>0</v>
      </c>
      <c r="J12" s="8" t="str">
        <f t="array" ref="J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" s="8" t="str">
        <f t="array" ref="K12">IF(I12=1,"Event",IF(J12="-","Normal",IF(INDEX(Event_Rumor!$G$2:$G$9,MATCH(J12,Event_Rumor!$A$2:$A$9,0))&gt;ROW(),"Pre","Post")))</f>
        <v>Normal</v>
      </c>
      <c r="L12" s="11" t="str">
        <f t="array" ref="L12">IF(J12="-","-",INDEX(Event_Rumor!$E$2:$E$9,MATCH(J12,Event_Rumor!$A$2:$A$9,0)))</f>
        <v>-</v>
      </c>
    </row>
    <row r="13" spans="1:12" ht="15" customHeight="1" x14ac:dyDescent="0.3">
      <c r="A13" s="26">
        <v>45308</v>
      </c>
      <c r="B13" s="6">
        <v>18655</v>
      </c>
      <c r="C13" s="6">
        <v>18845</v>
      </c>
      <c r="D13" s="6">
        <v>18655</v>
      </c>
      <c r="E13" s="6">
        <v>18726</v>
      </c>
      <c r="F13" s="6">
        <v>27700</v>
      </c>
      <c r="G13" s="7">
        <f t="shared" ref="G13:H13" si="10">(E13-E12)/E12</f>
        <v>-5.0475532649699806E-3</v>
      </c>
      <c r="H13" s="7">
        <f t="shared" si="10"/>
        <v>-0.47338403041825095</v>
      </c>
      <c r="I13" s="8">
        <f>IF(COUNTIF(Event_Rumor!$B$2:$B$9,A13)&gt;0,1,0)</f>
        <v>0</v>
      </c>
      <c r="J13" s="8" t="str">
        <f t="array" ref="J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" s="8" t="str">
        <f t="array" ref="K13">IF(I13=1,"Event",IF(J13="-","Normal",IF(INDEX(Event_Rumor!$G$2:$G$9,MATCH(J13,Event_Rumor!$A$2:$A$9,0))&gt;ROW(),"Pre","Post")))</f>
        <v>Normal</v>
      </c>
      <c r="L13" s="11" t="str">
        <f t="array" ref="L13">IF(J13="-","-",INDEX(Event_Rumor!$E$2:$E$9,MATCH(J13,Event_Rumor!$A$2:$A$9,0)))</f>
        <v>-</v>
      </c>
    </row>
    <row r="14" spans="1:12" ht="15" customHeight="1" x14ac:dyDescent="0.3">
      <c r="A14" s="26">
        <v>45309</v>
      </c>
      <c r="B14" s="6">
        <v>18797</v>
      </c>
      <c r="C14" s="6">
        <v>18869</v>
      </c>
      <c r="D14" s="6">
        <v>18702</v>
      </c>
      <c r="E14" s="6">
        <v>18869</v>
      </c>
      <c r="F14" s="6">
        <v>39700</v>
      </c>
      <c r="G14" s="7">
        <f t="shared" ref="G14:H14" si="11">(E14-E13)/E13</f>
        <v>7.6364413115454447E-3</v>
      </c>
      <c r="H14" s="7">
        <f t="shared" si="11"/>
        <v>0.43321299638989169</v>
      </c>
      <c r="I14" s="8">
        <f>IF(COUNTIF(Event_Rumor!$B$2:$B$9,A14)&gt;0,1,0)</f>
        <v>0</v>
      </c>
      <c r="J14" s="8" t="str">
        <f t="array" ref="J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" s="8" t="str">
        <f t="array" ref="K14">IF(I14=1,"Event",IF(J14="-","Normal",IF(INDEX(Event_Rumor!$G$2:$G$9,MATCH(J14,Event_Rumor!$A$2:$A$9,0))&gt;ROW(),"Pre","Post")))</f>
        <v>Normal</v>
      </c>
      <c r="L14" s="11" t="str">
        <f t="array" ref="L14">IF(J14="-","-",INDEX(Event_Rumor!$E$2:$E$9,MATCH(J14,Event_Rumor!$A$2:$A$9,0)))</f>
        <v>-</v>
      </c>
    </row>
    <row r="15" spans="1:12" ht="15" customHeight="1" x14ac:dyDescent="0.3">
      <c r="A15" s="26">
        <v>45310</v>
      </c>
      <c r="B15" s="6">
        <v>18869</v>
      </c>
      <c r="C15" s="6">
        <v>18869</v>
      </c>
      <c r="D15" s="6">
        <v>16418</v>
      </c>
      <c r="E15" s="6">
        <v>18869</v>
      </c>
      <c r="F15" s="6">
        <v>208600</v>
      </c>
      <c r="G15" s="7">
        <f t="shared" ref="G15:H15" si="12">(E15-E14)/E14</f>
        <v>0</v>
      </c>
      <c r="H15" s="7">
        <f t="shared" si="12"/>
        <v>4.2544080604534003</v>
      </c>
      <c r="I15" s="8">
        <f>IF(COUNTIF(Event_Rumor!$B$2:$B$9,A15)&gt;0,1,0)</f>
        <v>0</v>
      </c>
      <c r="J15" s="8" t="str">
        <f t="array" ref="J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5" s="8" t="str">
        <f t="array" ref="K15">IF(I15=1,"Event",IF(J15="-","Normal",IF(INDEX(Event_Rumor!$G$2:$G$9,MATCH(J15,Event_Rumor!$A$2:$A$9,0))&gt;ROW(),"Pre","Post")))</f>
        <v>Normal</v>
      </c>
      <c r="L15" s="11" t="str">
        <f t="array" ref="L15">IF(J15="-","-",INDEX(Event_Rumor!$E$2:$E$9,MATCH(J15,Event_Rumor!$A$2:$A$9,0)))</f>
        <v>-</v>
      </c>
    </row>
    <row r="16" spans="1:12" ht="15" customHeight="1" x14ac:dyDescent="0.3">
      <c r="A16" s="26">
        <v>45313</v>
      </c>
      <c r="B16" s="6">
        <v>18869</v>
      </c>
      <c r="C16" s="6">
        <v>18869</v>
      </c>
      <c r="D16" s="6">
        <v>18274</v>
      </c>
      <c r="E16" s="6">
        <v>18845</v>
      </c>
      <c r="F16" s="6">
        <v>50700</v>
      </c>
      <c r="G16" s="7">
        <f t="shared" ref="G16:H16" si="13">(E16-E15)/E15</f>
        <v>-1.2719275001324924E-3</v>
      </c>
      <c r="H16" s="7">
        <f t="shared" si="13"/>
        <v>-0.75695110258868648</v>
      </c>
      <c r="I16" s="8">
        <f>IF(COUNTIF(Event_Rumor!$B$2:$B$9,A16)&gt;0,1,0)</f>
        <v>0</v>
      </c>
      <c r="J16" s="8" t="str">
        <f t="array" ref="J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" s="8" t="str">
        <f t="array" ref="K16">IF(I16=1,"Event",IF(J16="-","Normal",IF(INDEX(Event_Rumor!$G$2:$G$9,MATCH(J16,Event_Rumor!$A$2:$A$9,0))&gt;ROW(),"Pre","Post")))</f>
        <v>Normal</v>
      </c>
      <c r="L16" s="11" t="str">
        <f t="array" ref="L16">IF(J16="-","-",INDEX(Event_Rumor!$E$2:$E$9,MATCH(J16,Event_Rumor!$A$2:$A$9,0)))</f>
        <v>-</v>
      </c>
    </row>
    <row r="17" spans="1:12" ht="15" customHeight="1" x14ac:dyDescent="0.3">
      <c r="A17" s="26">
        <v>45314</v>
      </c>
      <c r="B17" s="6">
        <v>18583</v>
      </c>
      <c r="C17" s="6">
        <v>18845</v>
      </c>
      <c r="D17" s="6">
        <v>17988</v>
      </c>
      <c r="E17" s="6">
        <v>18845</v>
      </c>
      <c r="F17" s="6">
        <v>221600</v>
      </c>
      <c r="G17" s="7">
        <f t="shared" ref="G17:H17" si="14">(E17-E16)/E16</f>
        <v>0</v>
      </c>
      <c r="H17" s="7">
        <f t="shared" si="14"/>
        <v>3.3708086785009863</v>
      </c>
      <c r="I17" s="8">
        <f>IF(COUNTIF(Event_Rumor!$B$2:$B$9,A17)&gt;0,1,0)</f>
        <v>0</v>
      </c>
      <c r="J17" s="8" t="str">
        <f t="array" ref="J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" s="8" t="str">
        <f t="array" ref="K17">IF(I17=1,"Event",IF(J17="-","Normal",IF(INDEX(Event_Rumor!$G$2:$G$9,MATCH(J17,Event_Rumor!$A$2:$A$9,0))&gt;ROW(),"Pre","Post")))</f>
        <v>Normal</v>
      </c>
      <c r="L17" s="11" t="str">
        <f t="array" ref="L17">IF(J17="-","-",INDEX(Event_Rumor!$E$2:$E$9,MATCH(J17,Event_Rumor!$A$2:$A$9,0)))</f>
        <v>-</v>
      </c>
    </row>
    <row r="18" spans="1:12" ht="15" customHeight="1" x14ac:dyDescent="0.3">
      <c r="A18" s="26">
        <v>45315</v>
      </c>
      <c r="B18" s="6">
        <v>18464</v>
      </c>
      <c r="C18" s="6">
        <v>18750</v>
      </c>
      <c r="D18" s="6">
        <v>18464</v>
      </c>
      <c r="E18" s="6">
        <v>18750</v>
      </c>
      <c r="F18" s="6">
        <v>47800</v>
      </c>
      <c r="G18" s="7">
        <f t="shared" ref="G18:H18" si="15">(E18-E17)/E17</f>
        <v>-5.0411249668347044E-3</v>
      </c>
      <c r="H18" s="7">
        <f t="shared" si="15"/>
        <v>-0.78429602888086647</v>
      </c>
      <c r="I18" s="8">
        <f>IF(COUNTIF(Event_Rumor!$B$2:$B$9,A18)&gt;0,1,0)</f>
        <v>0</v>
      </c>
      <c r="J18" s="8" t="str">
        <f t="array" ref="J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" s="8" t="str">
        <f t="array" ref="K18">IF(I18=1,"Event",IF(J18="-","Normal",IF(INDEX(Event_Rumor!$G$2:$G$9,MATCH(J18,Event_Rumor!$A$2:$A$9,0))&gt;ROW(),"Pre","Post")))</f>
        <v>Normal</v>
      </c>
      <c r="L18" s="11" t="str">
        <f t="array" ref="L18">IF(J18="-","-",INDEX(Event_Rumor!$E$2:$E$9,MATCH(J18,Event_Rumor!$A$2:$A$9,0)))</f>
        <v>-</v>
      </c>
    </row>
    <row r="19" spans="1:12" ht="15" customHeight="1" x14ac:dyDescent="0.3">
      <c r="A19" s="26">
        <v>45316</v>
      </c>
      <c r="B19" s="6">
        <v>18536</v>
      </c>
      <c r="C19" s="6">
        <v>18774</v>
      </c>
      <c r="D19" s="6">
        <v>18464</v>
      </c>
      <c r="E19" s="6">
        <v>18607</v>
      </c>
      <c r="F19" s="6">
        <v>46700</v>
      </c>
      <c r="G19" s="7">
        <f t="shared" ref="G19:H19" si="16">(E19-E18)/E18</f>
        <v>-7.626666666666667E-3</v>
      </c>
      <c r="H19" s="7">
        <f t="shared" si="16"/>
        <v>-2.3012552301255231E-2</v>
      </c>
      <c r="I19" s="8">
        <f>IF(COUNTIF(Event_Rumor!$B$2:$B$9,A19)&gt;0,1,0)</f>
        <v>0</v>
      </c>
      <c r="J19" s="8" t="str">
        <f t="array" ref="J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" s="8" t="str">
        <f t="array" ref="K19">IF(I19=1,"Event",IF(J19="-","Normal",IF(INDEX(Event_Rumor!$G$2:$G$9,MATCH(J19,Event_Rumor!$A$2:$A$9,0))&gt;ROW(),"Pre","Post")))</f>
        <v>Normal</v>
      </c>
      <c r="L19" s="11" t="str">
        <f t="array" ref="L19">IF(J19="-","-",INDEX(Event_Rumor!$E$2:$E$9,MATCH(J19,Event_Rumor!$A$2:$A$9,0)))</f>
        <v>-</v>
      </c>
    </row>
    <row r="20" spans="1:12" ht="15" customHeight="1" x14ac:dyDescent="0.3">
      <c r="A20" s="26">
        <v>45317</v>
      </c>
      <c r="B20" s="6">
        <v>18607</v>
      </c>
      <c r="C20" s="6">
        <v>18774</v>
      </c>
      <c r="D20" s="6">
        <v>18417</v>
      </c>
      <c r="E20" s="6">
        <v>18750</v>
      </c>
      <c r="F20" s="6">
        <v>26100</v>
      </c>
      <c r="G20" s="7">
        <f t="shared" ref="G20:H20" si="17">(E20-E19)/E19</f>
        <v>7.6852797334336538E-3</v>
      </c>
      <c r="H20" s="7">
        <f t="shared" si="17"/>
        <v>-0.4411134903640257</v>
      </c>
      <c r="I20" s="8">
        <f>IF(COUNTIF(Event_Rumor!$B$2:$B$9,A20)&gt;0,1,0)</f>
        <v>0</v>
      </c>
      <c r="J20" s="8" t="str">
        <f t="array" ref="J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" s="8" t="str">
        <f t="array" ref="K20">IF(I20=1,"Event",IF(J20="-","Normal",IF(INDEX(Event_Rumor!$G$2:$G$9,MATCH(J20,Event_Rumor!$A$2:$A$9,0))&gt;ROW(),"Pre","Post")))</f>
        <v>Normal</v>
      </c>
      <c r="L20" s="11" t="str">
        <f t="array" ref="L20">IF(J20="-","-",INDEX(Event_Rumor!$E$2:$E$9,MATCH(J20,Event_Rumor!$A$2:$A$9,0)))</f>
        <v>-</v>
      </c>
    </row>
    <row r="21" spans="1:12" ht="15" customHeight="1" x14ac:dyDescent="0.3">
      <c r="A21" s="26">
        <v>45320</v>
      </c>
      <c r="B21" s="6">
        <v>18750</v>
      </c>
      <c r="C21" s="6">
        <v>18774</v>
      </c>
      <c r="D21" s="6">
        <v>18464</v>
      </c>
      <c r="E21" s="6">
        <v>18750</v>
      </c>
      <c r="F21" s="6">
        <v>37700</v>
      </c>
      <c r="G21" s="7">
        <f t="shared" ref="G21:H21" si="18">(E21-E20)/E20</f>
        <v>0</v>
      </c>
      <c r="H21" s="7">
        <f t="shared" si="18"/>
        <v>0.44444444444444442</v>
      </c>
      <c r="I21" s="8">
        <f>IF(COUNTIF(Event_Rumor!$B$2:$B$9,A21)&gt;0,1,0)</f>
        <v>0</v>
      </c>
      <c r="J21" s="8" t="str">
        <f t="array" ref="J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" s="8" t="str">
        <f t="array" ref="K21">IF(I21=1,"Event",IF(J21="-","Normal",IF(INDEX(Event_Rumor!$G$2:$G$9,MATCH(J21,Event_Rumor!$A$2:$A$9,0))&gt;ROW(),"Pre","Post")))</f>
        <v>Normal</v>
      </c>
      <c r="L21" s="11" t="str">
        <f t="array" ref="L21">IF(J21="-","-",INDEX(Event_Rumor!$E$2:$E$9,MATCH(J21,Event_Rumor!$A$2:$A$9,0)))</f>
        <v>-</v>
      </c>
    </row>
    <row r="22" spans="1:12" ht="15" customHeight="1" x14ac:dyDescent="0.3">
      <c r="A22" s="26">
        <v>45321</v>
      </c>
      <c r="B22" s="6">
        <v>18702</v>
      </c>
      <c r="C22" s="6">
        <v>18750</v>
      </c>
      <c r="D22" s="6">
        <v>18559</v>
      </c>
      <c r="E22" s="6">
        <v>18750</v>
      </c>
      <c r="F22" s="6">
        <v>40200</v>
      </c>
      <c r="G22" s="7">
        <f t="shared" ref="G22:H22" si="19">(E22-E21)/E21</f>
        <v>0</v>
      </c>
      <c r="H22" s="7">
        <f t="shared" si="19"/>
        <v>6.6312997347480113E-2</v>
      </c>
      <c r="I22" s="8">
        <f>IF(COUNTIF(Event_Rumor!$B$2:$B$9,A22)&gt;0,1,0)</f>
        <v>0</v>
      </c>
      <c r="J22" s="8" t="str">
        <f t="array" ref="J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" s="8" t="str">
        <f t="array" ref="K22">IF(I22=1,"Event",IF(J22="-","Normal",IF(INDEX(Event_Rumor!$G$2:$G$9,MATCH(J22,Event_Rumor!$A$2:$A$9,0))&gt;ROW(),"Pre","Post")))</f>
        <v>Normal</v>
      </c>
      <c r="L22" s="11" t="str">
        <f t="array" ref="L22">IF(J22="-","-",INDEX(Event_Rumor!$E$2:$E$9,MATCH(J22,Event_Rumor!$A$2:$A$9,0)))</f>
        <v>-</v>
      </c>
    </row>
    <row r="23" spans="1:12" ht="15" customHeight="1" x14ac:dyDescent="0.3">
      <c r="A23" s="26">
        <v>45322</v>
      </c>
      <c r="B23" s="6">
        <v>18702</v>
      </c>
      <c r="C23" s="6">
        <v>18750</v>
      </c>
      <c r="D23" s="6">
        <v>18583</v>
      </c>
      <c r="E23" s="6">
        <v>18750</v>
      </c>
      <c r="F23" s="6">
        <v>35300</v>
      </c>
      <c r="G23" s="7">
        <f t="shared" ref="G23:H23" si="20">(E23-E22)/E22</f>
        <v>0</v>
      </c>
      <c r="H23" s="7">
        <f t="shared" si="20"/>
        <v>-0.12189054726368159</v>
      </c>
      <c r="I23" s="8">
        <f>IF(COUNTIF(Event_Rumor!$B$2:$B$9,A23)&gt;0,1,0)</f>
        <v>0</v>
      </c>
      <c r="J23" s="8" t="str">
        <f t="array" ref="J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" s="8" t="str">
        <f t="array" ref="K23">IF(I23=1,"Event",IF(J23="-","Normal",IF(INDEX(Event_Rumor!$G$2:$G$9,MATCH(J23,Event_Rumor!$A$2:$A$9,0))&gt;ROW(),"Pre","Post")))</f>
        <v>Normal</v>
      </c>
      <c r="L23" s="11" t="str">
        <f t="array" ref="L23">IF(J23="-","-",INDEX(Event_Rumor!$E$2:$E$9,MATCH(J23,Event_Rumor!$A$2:$A$9,0)))</f>
        <v>-</v>
      </c>
    </row>
    <row r="24" spans="1:12" ht="15" customHeight="1" x14ac:dyDescent="0.3">
      <c r="A24" s="26">
        <v>45323</v>
      </c>
      <c r="B24" s="6">
        <v>18750</v>
      </c>
      <c r="C24" s="6">
        <v>18774</v>
      </c>
      <c r="D24" s="6">
        <v>18702</v>
      </c>
      <c r="E24" s="6">
        <v>18774</v>
      </c>
      <c r="F24" s="6">
        <v>49800</v>
      </c>
      <c r="G24" s="7">
        <f t="shared" ref="G24:H24" si="21">(E24-E23)/E23</f>
        <v>1.2800000000000001E-3</v>
      </c>
      <c r="H24" s="7">
        <f t="shared" si="21"/>
        <v>0.41076487252124644</v>
      </c>
      <c r="I24" s="8">
        <f>IF(COUNTIF(Event_Rumor!$B$2:$B$9,A24)&gt;0,1,0)</f>
        <v>0</v>
      </c>
      <c r="J24" s="8" t="str">
        <f t="array" ref="J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" s="8" t="str">
        <f t="array" ref="K24">IF(I24=1,"Event",IF(J24="-","Normal",IF(INDEX(Event_Rumor!$G$2:$G$9,MATCH(J24,Event_Rumor!$A$2:$A$9,0))&gt;ROW(),"Pre","Post")))</f>
        <v>Normal</v>
      </c>
      <c r="L24" s="11" t="str">
        <f t="array" ref="L24">IF(J24="-","-",INDEX(Event_Rumor!$E$2:$E$9,MATCH(J24,Event_Rumor!$A$2:$A$9,0)))</f>
        <v>-</v>
      </c>
    </row>
    <row r="25" spans="1:12" ht="15" customHeight="1" x14ac:dyDescent="0.3">
      <c r="A25" s="26">
        <v>45324</v>
      </c>
      <c r="B25" s="6">
        <v>18607</v>
      </c>
      <c r="C25" s="6">
        <v>18797</v>
      </c>
      <c r="D25" s="6">
        <v>18607</v>
      </c>
      <c r="E25" s="6">
        <v>18797</v>
      </c>
      <c r="F25" s="6">
        <v>32800</v>
      </c>
      <c r="G25" s="7">
        <f t="shared" ref="G25:H25" si="22">(E25-E24)/E24</f>
        <v>1.2250985405347821E-3</v>
      </c>
      <c r="H25" s="7">
        <f t="shared" si="22"/>
        <v>-0.34136546184738958</v>
      </c>
      <c r="I25" s="8">
        <f>IF(COUNTIF(Event_Rumor!$B$2:$B$9,A25)&gt;0,1,0)</f>
        <v>0</v>
      </c>
      <c r="J25" s="8" t="str">
        <f t="array" ref="J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" s="8" t="str">
        <f t="array" ref="K25">IF(I25=1,"Event",IF(J25="-","Normal",IF(INDEX(Event_Rumor!$G$2:$G$9,MATCH(J25,Event_Rumor!$A$2:$A$9,0))&gt;ROW(),"Pre","Post")))</f>
        <v>Normal</v>
      </c>
      <c r="L25" s="11" t="str">
        <f t="array" ref="L25">IF(J25="-","-",INDEX(Event_Rumor!$E$2:$E$9,MATCH(J25,Event_Rumor!$A$2:$A$9,0)))</f>
        <v>-</v>
      </c>
    </row>
    <row r="26" spans="1:12" ht="15" customHeight="1" x14ac:dyDescent="0.3">
      <c r="A26" s="26">
        <v>45327</v>
      </c>
      <c r="B26" s="6">
        <v>18750</v>
      </c>
      <c r="C26" s="6">
        <v>18750</v>
      </c>
      <c r="D26" s="6">
        <v>18631</v>
      </c>
      <c r="E26" s="6">
        <v>18750</v>
      </c>
      <c r="F26" s="6">
        <v>28000</v>
      </c>
      <c r="G26" s="7">
        <f t="shared" ref="G26:H26" si="23">(E26-E25)/E25</f>
        <v>-2.5003989998404002E-3</v>
      </c>
      <c r="H26" s="7">
        <f t="shared" si="23"/>
        <v>-0.14634146341463414</v>
      </c>
      <c r="I26" s="8">
        <f>IF(COUNTIF(Event_Rumor!$B$2:$B$9,A26)&gt;0,1,0)</f>
        <v>0</v>
      </c>
      <c r="J26" s="8" t="str">
        <f t="array" ref="J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" s="8" t="str">
        <f t="array" ref="K26">IF(I26=1,"Event",IF(J26="-","Normal",IF(INDEX(Event_Rumor!$G$2:$G$9,MATCH(J26,Event_Rumor!$A$2:$A$9,0))&gt;ROW(),"Pre","Post")))</f>
        <v>Normal</v>
      </c>
      <c r="L26" s="11" t="str">
        <f t="array" ref="L26">IF(J26="-","-",INDEX(Event_Rumor!$E$2:$E$9,MATCH(J26,Event_Rumor!$A$2:$A$9,0)))</f>
        <v>-</v>
      </c>
    </row>
    <row r="27" spans="1:12" ht="15" customHeight="1" x14ac:dyDescent="0.3">
      <c r="A27" s="26">
        <v>45328</v>
      </c>
      <c r="B27" s="6">
        <v>18607</v>
      </c>
      <c r="C27" s="6">
        <v>18750</v>
      </c>
      <c r="D27" s="6">
        <v>18607</v>
      </c>
      <c r="E27" s="6">
        <v>18726</v>
      </c>
      <c r="F27" s="6">
        <v>21200</v>
      </c>
      <c r="G27" s="7">
        <f t="shared" ref="G27:H27" si="24">(E27-E26)/E26</f>
        <v>-1.2800000000000001E-3</v>
      </c>
      <c r="H27" s="7">
        <f t="shared" si="24"/>
        <v>-0.24285714285714285</v>
      </c>
      <c r="I27" s="8">
        <f>IF(COUNTIF(Event_Rumor!$B$2:$B$9,A27)&gt;0,1,0)</f>
        <v>0</v>
      </c>
      <c r="J27" s="8" t="str">
        <f t="array" ref="J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" s="8" t="str">
        <f t="array" ref="K27">IF(I27=1,"Event",IF(J27="-","Normal",IF(INDEX(Event_Rumor!$G$2:$G$9,MATCH(J27,Event_Rumor!$A$2:$A$9,0))&gt;ROW(),"Pre","Post")))</f>
        <v>Normal</v>
      </c>
      <c r="L27" s="11" t="str">
        <f t="array" ref="L27">IF(J27="-","-",INDEX(Event_Rumor!$E$2:$E$9,MATCH(J27,Event_Rumor!$A$2:$A$9,0)))</f>
        <v>-</v>
      </c>
    </row>
    <row r="28" spans="1:12" ht="15" customHeight="1" x14ac:dyDescent="0.3">
      <c r="A28" s="26">
        <v>45329</v>
      </c>
      <c r="B28" s="6">
        <v>18726</v>
      </c>
      <c r="C28" s="6">
        <v>18726</v>
      </c>
      <c r="D28" s="6">
        <v>18607</v>
      </c>
      <c r="E28" s="6">
        <v>18726</v>
      </c>
      <c r="F28" s="6">
        <v>37200</v>
      </c>
      <c r="G28" s="7">
        <f t="shared" ref="G28:H28" si="25">(E28-E27)/E27</f>
        <v>0</v>
      </c>
      <c r="H28" s="7">
        <f t="shared" si="25"/>
        <v>0.75471698113207553</v>
      </c>
      <c r="I28" s="8">
        <f>IF(COUNTIF(Event_Rumor!$B$2:$B$9,A28)&gt;0,1,0)</f>
        <v>0</v>
      </c>
      <c r="J28" s="8" t="str">
        <f t="array" ref="J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" s="8" t="str">
        <f t="array" ref="K28">IF(I28=1,"Event",IF(J28="-","Normal",IF(INDEX(Event_Rumor!$G$2:$G$9,MATCH(J28,Event_Rumor!$A$2:$A$9,0))&gt;ROW(),"Pre","Post")))</f>
        <v>Normal</v>
      </c>
      <c r="L28" s="11" t="str">
        <f t="array" ref="L28">IF(J28="-","-",INDEX(Event_Rumor!$E$2:$E$9,MATCH(J28,Event_Rumor!$A$2:$A$9,0)))</f>
        <v>-</v>
      </c>
    </row>
    <row r="29" spans="1:12" ht="15" customHeight="1" x14ac:dyDescent="0.3">
      <c r="A29" s="26">
        <v>45334</v>
      </c>
      <c r="B29" s="6">
        <v>18631</v>
      </c>
      <c r="C29" s="6">
        <v>18750</v>
      </c>
      <c r="D29" s="6">
        <v>18536</v>
      </c>
      <c r="E29" s="6">
        <v>18750</v>
      </c>
      <c r="F29" s="6">
        <v>133900</v>
      </c>
      <c r="G29" s="7">
        <f t="shared" ref="G29:H29" si="26">(E29-E28)/E28</f>
        <v>1.2816404998397949E-3</v>
      </c>
      <c r="H29" s="7">
        <f t="shared" si="26"/>
        <v>2.599462365591398</v>
      </c>
      <c r="I29" s="8">
        <f>IF(COUNTIF(Event_Rumor!$B$2:$B$9,A29)&gt;0,1,0)</f>
        <v>0</v>
      </c>
      <c r="J29" s="8" t="str">
        <f t="array" ref="J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" s="8" t="str">
        <f t="array" ref="K29">IF(I29=1,"Event",IF(J29="-","Normal",IF(INDEX(Event_Rumor!$G$2:$G$9,MATCH(J29,Event_Rumor!$A$2:$A$9,0))&gt;ROW(),"Pre","Post")))</f>
        <v>Normal</v>
      </c>
      <c r="L29" s="11" t="str">
        <f t="array" ref="L29">IF(J29="-","-",INDEX(Event_Rumor!$E$2:$E$9,MATCH(J29,Event_Rumor!$A$2:$A$9,0)))</f>
        <v>-</v>
      </c>
    </row>
    <row r="30" spans="1:12" ht="15" customHeight="1" x14ac:dyDescent="0.3">
      <c r="A30" s="26">
        <v>45335</v>
      </c>
      <c r="B30" s="6">
        <v>18702</v>
      </c>
      <c r="C30" s="6">
        <v>18750</v>
      </c>
      <c r="D30" s="6">
        <v>18512</v>
      </c>
      <c r="E30" s="6">
        <v>18726</v>
      </c>
      <c r="F30" s="6">
        <v>128300</v>
      </c>
      <c r="G30" s="7">
        <f t="shared" ref="G30:H30" si="27">(E30-E29)/E29</f>
        <v>-1.2800000000000001E-3</v>
      </c>
      <c r="H30" s="7">
        <f t="shared" si="27"/>
        <v>-4.1822255414488425E-2</v>
      </c>
      <c r="I30" s="8">
        <f>IF(COUNTIF(Event_Rumor!$B$2:$B$9,A30)&gt;0,1,0)</f>
        <v>0</v>
      </c>
      <c r="J30" s="8" t="str">
        <f t="array" ref="J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" s="8" t="str">
        <f t="array" ref="K30">IF(I30=1,"Event",IF(J30="-","Normal",IF(INDEX(Event_Rumor!$G$2:$G$9,MATCH(J30,Event_Rumor!$A$2:$A$9,0))&gt;ROW(),"Pre","Post")))</f>
        <v>Normal</v>
      </c>
      <c r="L30" s="11" t="str">
        <f t="array" ref="L30">IF(J30="-","-",INDEX(Event_Rumor!$E$2:$E$9,MATCH(J30,Event_Rumor!$A$2:$A$9,0)))</f>
        <v>-</v>
      </c>
    </row>
    <row r="31" spans="1:12" ht="15" customHeight="1" x14ac:dyDescent="0.3">
      <c r="A31" s="26">
        <v>45337</v>
      </c>
      <c r="B31" s="6">
        <v>18702</v>
      </c>
      <c r="C31" s="6">
        <v>18750</v>
      </c>
      <c r="D31" s="6">
        <v>18559</v>
      </c>
      <c r="E31" s="6">
        <v>18750</v>
      </c>
      <c r="F31" s="6">
        <v>66400</v>
      </c>
      <c r="G31" s="7">
        <f t="shared" ref="G31:H31" si="28">(E31-E30)/E30</f>
        <v>1.2816404998397949E-3</v>
      </c>
      <c r="H31" s="7">
        <f t="shared" si="28"/>
        <v>-0.48246297739672644</v>
      </c>
      <c r="I31" s="8">
        <f>IF(COUNTIF(Event_Rumor!$B$2:$B$9,A31)&gt;0,1,0)</f>
        <v>0</v>
      </c>
      <c r="J31" s="8" t="str">
        <f t="array" ref="J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" s="8" t="str">
        <f t="array" ref="K31">IF(I31=1,"Event",IF(J31="-","Normal",IF(INDEX(Event_Rumor!$G$2:$G$9,MATCH(J31,Event_Rumor!$A$2:$A$9,0))&gt;ROW(),"Pre","Post")))</f>
        <v>Normal</v>
      </c>
      <c r="L31" s="11" t="str">
        <f t="array" ref="L31">IF(J31="-","-",INDEX(Event_Rumor!$E$2:$E$9,MATCH(J31,Event_Rumor!$A$2:$A$9,0)))</f>
        <v>-</v>
      </c>
    </row>
    <row r="32" spans="1:12" ht="15" customHeight="1" x14ac:dyDescent="0.3">
      <c r="A32" s="26">
        <v>45338</v>
      </c>
      <c r="B32" s="6">
        <v>18607</v>
      </c>
      <c r="C32" s="6">
        <v>18678</v>
      </c>
      <c r="D32" s="6">
        <v>18583</v>
      </c>
      <c r="E32" s="6">
        <v>18583</v>
      </c>
      <c r="F32" s="6">
        <v>42800</v>
      </c>
      <c r="G32" s="7">
        <f t="shared" ref="G32:H32" si="29">(E32-E31)/E31</f>
        <v>-8.9066666666666669E-3</v>
      </c>
      <c r="H32" s="7">
        <f t="shared" si="29"/>
        <v>-0.35542168674698793</v>
      </c>
      <c r="I32" s="8">
        <f>IF(COUNTIF(Event_Rumor!$B$2:$B$9,A32)&gt;0,1,0)</f>
        <v>0</v>
      </c>
      <c r="J32" s="8" t="str">
        <f t="array" ref="J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" s="8" t="str">
        <f t="array" ref="K32">IF(I32=1,"Event",IF(J32="-","Normal",IF(INDEX(Event_Rumor!$G$2:$G$9,MATCH(J32,Event_Rumor!$A$2:$A$9,0))&gt;ROW(),"Pre","Post")))</f>
        <v>Normal</v>
      </c>
      <c r="L32" s="11" t="str">
        <f t="array" ref="L32">IF(J32="-","-",INDEX(Event_Rumor!$E$2:$E$9,MATCH(J32,Event_Rumor!$A$2:$A$9,0)))</f>
        <v>-</v>
      </c>
    </row>
    <row r="33" spans="1:12" ht="15" customHeight="1" x14ac:dyDescent="0.3">
      <c r="A33" s="26">
        <v>45341</v>
      </c>
      <c r="B33" s="6">
        <v>18559</v>
      </c>
      <c r="C33" s="6">
        <v>18655</v>
      </c>
      <c r="D33" s="6">
        <v>18512</v>
      </c>
      <c r="E33" s="6">
        <v>18655</v>
      </c>
      <c r="F33" s="6">
        <v>5700</v>
      </c>
      <c r="G33" s="7">
        <f t="shared" ref="G33:H33" si="30">(E33-E32)/E32</f>
        <v>3.8745089598019697E-3</v>
      </c>
      <c r="H33" s="7">
        <f t="shared" si="30"/>
        <v>-0.86682242990654201</v>
      </c>
      <c r="I33" s="8">
        <f>IF(COUNTIF(Event_Rumor!$B$2:$B$9,A33)&gt;0,1,0)</f>
        <v>0</v>
      </c>
      <c r="J33" s="8" t="str">
        <f t="array" ref="J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" s="8" t="str">
        <f t="array" ref="K33">IF(I33=1,"Event",IF(J33="-","Normal",IF(INDEX(Event_Rumor!$G$2:$G$9,MATCH(J33,Event_Rumor!$A$2:$A$9,0))&gt;ROW(),"Pre","Post")))</f>
        <v>Normal</v>
      </c>
      <c r="L33" s="11" t="str">
        <f t="array" ref="L33">IF(J33="-","-",INDEX(Event_Rumor!$E$2:$E$9,MATCH(J33,Event_Rumor!$A$2:$A$9,0)))</f>
        <v>-</v>
      </c>
    </row>
    <row r="34" spans="1:12" ht="15" customHeight="1" x14ac:dyDescent="0.3">
      <c r="A34" s="26">
        <v>45342</v>
      </c>
      <c r="B34" s="6">
        <v>18512</v>
      </c>
      <c r="C34" s="6">
        <v>18655</v>
      </c>
      <c r="D34" s="6">
        <v>17988</v>
      </c>
      <c r="E34" s="6">
        <v>18084</v>
      </c>
      <c r="F34" s="6">
        <v>65500</v>
      </c>
      <c r="G34" s="7">
        <f t="shared" ref="G34:H34" si="31">(E34-E33)/E33</f>
        <v>-3.0608415974269634E-2</v>
      </c>
      <c r="H34" s="7">
        <f t="shared" si="31"/>
        <v>10.491228070175438</v>
      </c>
      <c r="I34" s="8">
        <f>IF(COUNTIF(Event_Rumor!$B$2:$B$9,A34)&gt;0,1,0)</f>
        <v>0</v>
      </c>
      <c r="J34" s="8" t="str">
        <f t="array" ref="J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" s="8" t="str">
        <f t="array" ref="K34">IF(I34=1,"Event",IF(J34="-","Normal",IF(INDEX(Event_Rumor!$G$2:$G$9,MATCH(J34,Event_Rumor!$A$2:$A$9,0))&gt;ROW(),"Pre","Post")))</f>
        <v>Normal</v>
      </c>
      <c r="L34" s="11" t="str">
        <f t="array" ref="L34">IF(J34="-","-",INDEX(Event_Rumor!$E$2:$E$9,MATCH(J34,Event_Rumor!$A$2:$A$9,0)))</f>
        <v>-</v>
      </c>
    </row>
    <row r="35" spans="1:12" ht="15" customHeight="1" x14ac:dyDescent="0.3">
      <c r="A35" s="26">
        <v>45343</v>
      </c>
      <c r="B35" s="6">
        <v>18084</v>
      </c>
      <c r="C35" s="6">
        <v>18678</v>
      </c>
      <c r="D35" s="6">
        <v>18084</v>
      </c>
      <c r="E35" s="6">
        <v>18655</v>
      </c>
      <c r="F35" s="6">
        <v>129800</v>
      </c>
      <c r="G35" s="7">
        <f t="shared" ref="G35:H35" si="32">(E35-E34)/E34</f>
        <v>3.1574872815748729E-2</v>
      </c>
      <c r="H35" s="7">
        <f t="shared" si="32"/>
        <v>0.98167938931297705</v>
      </c>
      <c r="I35" s="8">
        <f>IF(COUNTIF(Event_Rumor!$B$2:$B$9,A35)&gt;0,1,0)</f>
        <v>0</v>
      </c>
      <c r="J35" s="8" t="str">
        <f t="array" ref="J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" s="8" t="str">
        <f t="array" ref="K35">IF(I35=1,"Event",IF(J35="-","Normal",IF(INDEX(Event_Rumor!$G$2:$G$9,MATCH(J35,Event_Rumor!$A$2:$A$9,0))&gt;ROW(),"Pre","Post")))</f>
        <v>Normal</v>
      </c>
      <c r="L35" s="11" t="str">
        <f t="array" ref="L35">IF(J35="-","-",INDEX(Event_Rumor!$E$2:$E$9,MATCH(J35,Event_Rumor!$A$2:$A$9,0)))</f>
        <v>-</v>
      </c>
    </row>
    <row r="36" spans="1:12" ht="15" customHeight="1" x14ac:dyDescent="0.3">
      <c r="A36" s="26">
        <v>45344</v>
      </c>
      <c r="B36" s="6">
        <v>18417</v>
      </c>
      <c r="C36" s="6">
        <v>18655</v>
      </c>
      <c r="D36" s="6">
        <v>18417</v>
      </c>
      <c r="E36" s="6">
        <v>18559</v>
      </c>
      <c r="F36" s="6">
        <v>55000</v>
      </c>
      <c r="G36" s="7">
        <f t="shared" ref="G36:H36" si="33">(E36-E35)/E35</f>
        <v>-5.1460734387563656E-3</v>
      </c>
      <c r="H36" s="7">
        <f t="shared" si="33"/>
        <v>-0.57627118644067798</v>
      </c>
      <c r="I36" s="8">
        <f>IF(COUNTIF(Event_Rumor!$B$2:$B$9,A36)&gt;0,1,0)</f>
        <v>0</v>
      </c>
      <c r="J36" s="8" t="str">
        <f t="array" ref="J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" s="8" t="str">
        <f t="array" ref="K36">IF(I36=1,"Event",IF(J36="-","Normal",IF(INDEX(Event_Rumor!$G$2:$G$9,MATCH(J36,Event_Rumor!$A$2:$A$9,0))&gt;ROW(),"Pre","Post")))</f>
        <v>Normal</v>
      </c>
      <c r="L36" s="11" t="str">
        <f t="array" ref="L36">IF(J36="-","-",INDEX(Event_Rumor!$E$2:$E$9,MATCH(J36,Event_Rumor!$A$2:$A$9,0)))</f>
        <v>-</v>
      </c>
    </row>
    <row r="37" spans="1:12" ht="15" customHeight="1" x14ac:dyDescent="0.3">
      <c r="A37" s="26">
        <v>45345</v>
      </c>
      <c r="B37" s="6">
        <v>18559</v>
      </c>
      <c r="C37" s="6">
        <v>18607</v>
      </c>
      <c r="D37" s="6">
        <v>18369</v>
      </c>
      <c r="E37" s="6">
        <v>18607</v>
      </c>
      <c r="F37" s="6">
        <v>33000</v>
      </c>
      <c r="G37" s="7">
        <f t="shared" ref="G37:H37" si="34">(E37-E36)/E36</f>
        <v>2.5863462471038311E-3</v>
      </c>
      <c r="H37" s="7">
        <f t="shared" si="34"/>
        <v>-0.4</v>
      </c>
      <c r="I37" s="8">
        <f>IF(COUNTIF(Event_Rumor!$B$2:$B$9,A37)&gt;0,1,0)</f>
        <v>0</v>
      </c>
      <c r="J37" s="8" t="str">
        <f t="array" ref="J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" s="8" t="str">
        <f t="array" ref="K37">IF(I37=1,"Event",IF(J37="-","Normal",IF(INDEX(Event_Rumor!$G$2:$G$9,MATCH(J37,Event_Rumor!$A$2:$A$9,0))&gt;ROW(),"Pre","Post")))</f>
        <v>Normal</v>
      </c>
      <c r="L37" s="11" t="str">
        <f t="array" ref="L37">IF(J37="-","-",INDEX(Event_Rumor!$E$2:$E$9,MATCH(J37,Event_Rumor!$A$2:$A$9,0)))</f>
        <v>-</v>
      </c>
    </row>
    <row r="38" spans="1:12" ht="15" customHeight="1" x14ac:dyDescent="0.3">
      <c r="A38" s="26">
        <v>45348</v>
      </c>
      <c r="B38" s="6">
        <v>18369</v>
      </c>
      <c r="C38" s="6">
        <v>18583</v>
      </c>
      <c r="D38" s="6">
        <v>18369</v>
      </c>
      <c r="E38" s="6">
        <v>18440</v>
      </c>
      <c r="F38" s="6">
        <v>29800</v>
      </c>
      <c r="G38" s="7">
        <f t="shared" ref="G38:H38" si="35">(E38-E37)/E37</f>
        <v>-8.9751168914924493E-3</v>
      </c>
      <c r="H38" s="7">
        <f t="shared" si="35"/>
        <v>-9.696969696969697E-2</v>
      </c>
      <c r="I38" s="8">
        <f>IF(COUNTIF(Event_Rumor!$B$2:$B$9,A38)&gt;0,1,0)</f>
        <v>0</v>
      </c>
      <c r="J38" s="8" t="str">
        <f t="array" ref="J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" s="8" t="str">
        <f t="array" ref="K38">IF(I38=1,"Event",IF(J38="-","Normal",IF(INDEX(Event_Rumor!$G$2:$G$9,MATCH(J38,Event_Rumor!$A$2:$A$9,0))&gt;ROW(),"Pre","Post")))</f>
        <v>Normal</v>
      </c>
      <c r="L38" s="11" t="str">
        <f t="array" ref="L38">IF(J38="-","-",INDEX(Event_Rumor!$E$2:$E$9,MATCH(J38,Event_Rumor!$A$2:$A$9,0)))</f>
        <v>-</v>
      </c>
    </row>
    <row r="39" spans="1:12" ht="15" customHeight="1" x14ac:dyDescent="0.3">
      <c r="A39" s="26">
        <v>45349</v>
      </c>
      <c r="B39" s="6">
        <v>18440</v>
      </c>
      <c r="C39" s="6">
        <v>18559</v>
      </c>
      <c r="D39" s="6">
        <v>18440</v>
      </c>
      <c r="E39" s="6">
        <v>18536</v>
      </c>
      <c r="F39" s="6">
        <v>16900</v>
      </c>
      <c r="G39" s="7">
        <f t="shared" ref="G39:H39" si="36">(E39-E38)/E38</f>
        <v>5.2060737527114967E-3</v>
      </c>
      <c r="H39" s="7">
        <f t="shared" si="36"/>
        <v>-0.43288590604026844</v>
      </c>
      <c r="I39" s="8">
        <f>IF(COUNTIF(Event_Rumor!$B$2:$B$9,A39)&gt;0,1,0)</f>
        <v>0</v>
      </c>
      <c r="J39" s="8" t="str">
        <f t="array" ref="J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" s="8" t="str">
        <f t="array" ref="K39">IF(I39=1,"Event",IF(J39="-","Normal",IF(INDEX(Event_Rumor!$G$2:$G$9,MATCH(J39,Event_Rumor!$A$2:$A$9,0))&gt;ROW(),"Pre","Post")))</f>
        <v>Normal</v>
      </c>
      <c r="L39" s="11" t="str">
        <f t="array" ref="L39">IF(J39="-","-",INDEX(Event_Rumor!$E$2:$E$9,MATCH(J39,Event_Rumor!$A$2:$A$9,0)))</f>
        <v>-</v>
      </c>
    </row>
    <row r="40" spans="1:12" ht="15" customHeight="1" x14ac:dyDescent="0.3">
      <c r="A40" s="26">
        <v>45350</v>
      </c>
      <c r="B40" s="6">
        <v>18512</v>
      </c>
      <c r="C40" s="6">
        <v>18559</v>
      </c>
      <c r="D40" s="6">
        <v>18440</v>
      </c>
      <c r="E40" s="6">
        <v>18536</v>
      </c>
      <c r="F40" s="6">
        <v>50900</v>
      </c>
      <c r="G40" s="7">
        <f t="shared" ref="G40:H40" si="37">(E40-E39)/E39</f>
        <v>0</v>
      </c>
      <c r="H40" s="7">
        <f t="shared" si="37"/>
        <v>2.0118343195266273</v>
      </c>
      <c r="I40" s="8">
        <f>IF(COUNTIF(Event_Rumor!$B$2:$B$9,A40)&gt;0,1,0)</f>
        <v>0</v>
      </c>
      <c r="J40" s="8" t="str">
        <f t="array" ref="J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" s="8" t="str">
        <f t="array" ref="K40">IF(I40=1,"Event",IF(J40="-","Normal",IF(INDEX(Event_Rumor!$G$2:$G$9,MATCH(J40,Event_Rumor!$A$2:$A$9,0))&gt;ROW(),"Pre","Post")))</f>
        <v>Normal</v>
      </c>
      <c r="L40" s="11" t="str">
        <f t="array" ref="L40">IF(J40="-","-",INDEX(Event_Rumor!$E$2:$E$9,MATCH(J40,Event_Rumor!$A$2:$A$9,0)))</f>
        <v>-</v>
      </c>
    </row>
    <row r="41" spans="1:12" ht="15" customHeight="1" x14ac:dyDescent="0.3">
      <c r="A41" s="26">
        <v>45351</v>
      </c>
      <c r="B41" s="6">
        <v>18369</v>
      </c>
      <c r="C41" s="6">
        <v>18559</v>
      </c>
      <c r="D41" s="6">
        <v>18131</v>
      </c>
      <c r="E41" s="6">
        <v>18559</v>
      </c>
      <c r="F41" s="6">
        <v>338500</v>
      </c>
      <c r="G41" s="7">
        <f t="shared" ref="G41:H41" si="38">(E41-E40)/E40</f>
        <v>1.2408286577470869E-3</v>
      </c>
      <c r="H41" s="7">
        <f t="shared" si="38"/>
        <v>5.6502946954813362</v>
      </c>
      <c r="I41" s="8">
        <f>IF(COUNTIF(Event_Rumor!$B$2:$B$9,A41)&gt;0,1,0)</f>
        <v>0</v>
      </c>
      <c r="J41" s="8" t="str">
        <f t="array" ref="J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" s="8" t="str">
        <f t="array" ref="K41">IF(I41=1,"Event",IF(J41="-","Normal",IF(INDEX(Event_Rumor!$G$2:$G$9,MATCH(J41,Event_Rumor!$A$2:$A$9,0))&gt;ROW(),"Pre","Post")))</f>
        <v>Normal</v>
      </c>
      <c r="L41" s="11" t="str">
        <f t="array" ref="L41">IF(J41="-","-",INDEX(Event_Rumor!$E$2:$E$9,MATCH(J41,Event_Rumor!$A$2:$A$9,0)))</f>
        <v>-</v>
      </c>
    </row>
    <row r="42" spans="1:12" ht="15" customHeight="1" x14ac:dyDescent="0.3">
      <c r="A42" s="26">
        <v>45352</v>
      </c>
      <c r="B42" s="6">
        <v>18440</v>
      </c>
      <c r="C42" s="6">
        <v>18559</v>
      </c>
      <c r="D42" s="6">
        <v>18440</v>
      </c>
      <c r="E42" s="6">
        <v>18559</v>
      </c>
      <c r="F42" s="6">
        <v>44400</v>
      </c>
      <c r="G42" s="7">
        <f t="shared" ref="G42:H42" si="39">(E42-E41)/E41</f>
        <v>0</v>
      </c>
      <c r="H42" s="7">
        <f t="shared" si="39"/>
        <v>-0.86883308714918761</v>
      </c>
      <c r="I42" s="8">
        <f>IF(COUNTIF(Event_Rumor!$B$2:$B$9,A42)&gt;0,1,0)</f>
        <v>0</v>
      </c>
      <c r="J42" s="8" t="str">
        <f t="array" ref="J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" s="8" t="str">
        <f t="array" ref="K42">IF(I42=1,"Event",IF(J42="-","Normal",IF(INDEX(Event_Rumor!$G$2:$G$9,MATCH(J42,Event_Rumor!$A$2:$A$9,0))&gt;ROW(),"Pre","Post")))</f>
        <v>Normal</v>
      </c>
      <c r="L42" s="11" t="str">
        <f t="array" ref="L42">IF(J42="-","-",INDEX(Event_Rumor!$E$2:$E$9,MATCH(J42,Event_Rumor!$A$2:$A$9,0)))</f>
        <v>-</v>
      </c>
    </row>
    <row r="43" spans="1:12" ht="15" customHeight="1" x14ac:dyDescent="0.3">
      <c r="A43" s="26">
        <v>45355</v>
      </c>
      <c r="B43" s="6">
        <v>18393</v>
      </c>
      <c r="C43" s="6">
        <v>18536</v>
      </c>
      <c r="D43" s="6">
        <v>18393</v>
      </c>
      <c r="E43" s="6">
        <v>18512</v>
      </c>
      <c r="F43" s="6">
        <v>20400</v>
      </c>
      <c r="G43" s="7">
        <f t="shared" ref="G43:H43" si="40">(E43-E42)/E42</f>
        <v>-2.5324640336225014E-3</v>
      </c>
      <c r="H43" s="7">
        <f t="shared" si="40"/>
        <v>-0.54054054054054057</v>
      </c>
      <c r="I43" s="8">
        <f>IF(COUNTIF(Event_Rumor!$B$2:$B$9,A43)&gt;0,1,0)</f>
        <v>0</v>
      </c>
      <c r="J43" s="8" t="str">
        <f t="array" ref="J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" s="8" t="str">
        <f t="array" ref="K43">IF(I43=1,"Event",IF(J43="-","Normal",IF(INDEX(Event_Rumor!$G$2:$G$9,MATCH(J43,Event_Rumor!$A$2:$A$9,0))&gt;ROW(),"Pre","Post")))</f>
        <v>Normal</v>
      </c>
      <c r="L43" s="11" t="str">
        <f t="array" ref="L43">IF(J43="-","-",INDEX(Event_Rumor!$E$2:$E$9,MATCH(J43,Event_Rumor!$A$2:$A$9,0)))</f>
        <v>-</v>
      </c>
    </row>
    <row r="44" spans="1:12" ht="15" customHeight="1" x14ac:dyDescent="0.3">
      <c r="A44" s="26">
        <v>45356</v>
      </c>
      <c r="B44" s="6">
        <v>18369</v>
      </c>
      <c r="C44" s="6">
        <v>18512</v>
      </c>
      <c r="D44" s="6">
        <v>18084</v>
      </c>
      <c r="E44" s="6">
        <v>18488</v>
      </c>
      <c r="F44" s="6">
        <v>134600</v>
      </c>
      <c r="G44" s="7">
        <f t="shared" ref="G44:H44" si="41">(E44-E43)/E43</f>
        <v>-1.2964563526361278E-3</v>
      </c>
      <c r="H44" s="7">
        <f t="shared" si="41"/>
        <v>5.5980392156862742</v>
      </c>
      <c r="I44" s="8">
        <f>IF(COUNTIF(Event_Rumor!$B$2:$B$9,A44)&gt;0,1,0)</f>
        <v>0</v>
      </c>
      <c r="J44" s="8" t="str">
        <f t="array" ref="J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" s="8" t="str">
        <f t="array" ref="K44">IF(I44=1,"Event",IF(J44="-","Normal",IF(INDEX(Event_Rumor!$G$2:$G$9,MATCH(J44,Event_Rumor!$A$2:$A$9,0))&gt;ROW(),"Pre","Post")))</f>
        <v>Normal</v>
      </c>
      <c r="L44" s="11" t="str">
        <f t="array" ref="L44">IF(J44="-","-",INDEX(Event_Rumor!$E$2:$E$9,MATCH(J44,Event_Rumor!$A$2:$A$9,0)))</f>
        <v>-</v>
      </c>
    </row>
    <row r="45" spans="1:12" ht="15" customHeight="1" x14ac:dyDescent="0.3">
      <c r="A45" s="26">
        <v>45357</v>
      </c>
      <c r="B45" s="6">
        <v>18464</v>
      </c>
      <c r="C45" s="6">
        <v>18464</v>
      </c>
      <c r="D45" s="6">
        <v>18250</v>
      </c>
      <c r="E45" s="6">
        <v>18464</v>
      </c>
      <c r="F45" s="6">
        <v>34400</v>
      </c>
      <c r="G45" s="7">
        <f t="shared" ref="G45:H45" si="42">(E45-E44)/E44</f>
        <v>-1.2981393336218088E-3</v>
      </c>
      <c r="H45" s="7">
        <f t="shared" si="42"/>
        <v>-0.74442793462109957</v>
      </c>
      <c r="I45" s="8">
        <f>IF(COUNTIF(Event_Rumor!$B$2:$B$9,A45)&gt;0,1,0)</f>
        <v>0</v>
      </c>
      <c r="J45" s="8" t="str">
        <f t="array" ref="J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" s="8" t="str">
        <f t="array" ref="K45">IF(I45=1,"Event",IF(J45="-","Normal",IF(INDEX(Event_Rumor!$G$2:$G$9,MATCH(J45,Event_Rumor!$A$2:$A$9,0))&gt;ROW(),"Pre","Post")))</f>
        <v>Normal</v>
      </c>
      <c r="L45" s="11" t="str">
        <f t="array" ref="L45">IF(J45="-","-",INDEX(Event_Rumor!$E$2:$E$9,MATCH(J45,Event_Rumor!$A$2:$A$9,0)))</f>
        <v>-</v>
      </c>
    </row>
    <row r="46" spans="1:12" ht="15" customHeight="1" x14ac:dyDescent="0.3">
      <c r="A46" s="26">
        <v>45358</v>
      </c>
      <c r="B46" s="6">
        <v>18321</v>
      </c>
      <c r="C46" s="6">
        <v>18417</v>
      </c>
      <c r="D46" s="6">
        <v>18321</v>
      </c>
      <c r="E46" s="6">
        <v>18393</v>
      </c>
      <c r="F46" s="6">
        <v>37300</v>
      </c>
      <c r="G46" s="7">
        <f t="shared" ref="G46:H46" si="43">(E46-E45)/E45</f>
        <v>-3.8453206239168112E-3</v>
      </c>
      <c r="H46" s="7">
        <f t="shared" si="43"/>
        <v>8.4302325581395346E-2</v>
      </c>
      <c r="I46" s="8">
        <f>IF(COUNTIF(Event_Rumor!$B$2:$B$9,A46)&gt;0,1,0)</f>
        <v>0</v>
      </c>
      <c r="J46" s="8" t="str">
        <f t="array" ref="J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" s="8" t="str">
        <f t="array" ref="K46">IF(I46=1,"Event",IF(J46="-","Normal",IF(INDEX(Event_Rumor!$G$2:$G$9,MATCH(J46,Event_Rumor!$A$2:$A$9,0))&gt;ROW(),"Pre","Post")))</f>
        <v>Normal</v>
      </c>
      <c r="L46" s="11" t="str">
        <f t="array" ref="L46">IF(J46="-","-",INDEX(Event_Rumor!$E$2:$E$9,MATCH(J46,Event_Rumor!$A$2:$A$9,0)))</f>
        <v>-</v>
      </c>
    </row>
    <row r="47" spans="1:12" ht="15" customHeight="1" x14ac:dyDescent="0.3">
      <c r="A47" s="26">
        <v>45359</v>
      </c>
      <c r="B47" s="6">
        <v>18369</v>
      </c>
      <c r="C47" s="6">
        <v>18559</v>
      </c>
      <c r="D47" s="6">
        <v>18226</v>
      </c>
      <c r="E47" s="6">
        <v>18559</v>
      </c>
      <c r="F47" s="6">
        <v>105600</v>
      </c>
      <c r="G47" s="7">
        <f t="shared" ref="G47:H47" si="44">(E47-E46)/E46</f>
        <v>9.0251726200184859E-3</v>
      </c>
      <c r="H47" s="7">
        <f t="shared" si="44"/>
        <v>1.8310991957104559</v>
      </c>
      <c r="I47" s="8">
        <f>IF(COUNTIF(Event_Rumor!$B$2:$B$9,A47)&gt;0,1,0)</f>
        <v>0</v>
      </c>
      <c r="J47" s="8" t="str">
        <f t="array" ref="J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" s="8" t="str">
        <f t="array" ref="K47">IF(I47=1,"Event",IF(J47="-","Normal",IF(INDEX(Event_Rumor!$G$2:$G$9,MATCH(J47,Event_Rumor!$A$2:$A$9,0))&gt;ROW(),"Pre","Post")))</f>
        <v>Normal</v>
      </c>
      <c r="L47" s="11" t="str">
        <f t="array" ref="L47">IF(J47="-","-",INDEX(Event_Rumor!$E$2:$E$9,MATCH(J47,Event_Rumor!$A$2:$A$9,0)))</f>
        <v>-</v>
      </c>
    </row>
    <row r="48" spans="1:12" ht="15" customHeight="1" x14ac:dyDescent="0.3">
      <c r="A48" s="26">
        <v>45364</v>
      </c>
      <c r="B48" s="6">
        <v>18417</v>
      </c>
      <c r="C48" s="6">
        <v>18559</v>
      </c>
      <c r="D48" s="6">
        <v>18345</v>
      </c>
      <c r="E48" s="6">
        <v>18536</v>
      </c>
      <c r="F48" s="6">
        <v>60300</v>
      </c>
      <c r="G48" s="7">
        <f t="shared" ref="G48:H48" si="45">(E48-E47)/E47</f>
        <v>-1.2392909100705856E-3</v>
      </c>
      <c r="H48" s="7">
        <f t="shared" si="45"/>
        <v>-0.42897727272727271</v>
      </c>
      <c r="I48" s="8">
        <f>IF(COUNTIF(Event_Rumor!$B$2:$B$9,A48)&gt;0,1,0)</f>
        <v>0</v>
      </c>
      <c r="J48" s="8" t="str">
        <f t="array" ref="J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" s="8" t="str">
        <f t="array" ref="K48">IF(I48=1,"Event",IF(J48="-","Normal",IF(INDEX(Event_Rumor!$G$2:$G$9,MATCH(J48,Event_Rumor!$A$2:$A$9,0))&gt;ROW(),"Pre","Post")))</f>
        <v>Normal</v>
      </c>
      <c r="L48" s="11" t="str">
        <f t="array" ref="L48">IF(J48="-","-",INDEX(Event_Rumor!$E$2:$E$9,MATCH(J48,Event_Rumor!$A$2:$A$9,0)))</f>
        <v>-</v>
      </c>
    </row>
    <row r="49" spans="1:12" ht="15" customHeight="1" x14ac:dyDescent="0.3">
      <c r="A49" s="26">
        <v>45365</v>
      </c>
      <c r="B49" s="6">
        <v>18512</v>
      </c>
      <c r="C49" s="6">
        <v>18559</v>
      </c>
      <c r="D49" s="6">
        <v>18369</v>
      </c>
      <c r="E49" s="6">
        <v>18559</v>
      </c>
      <c r="F49" s="6">
        <v>36800</v>
      </c>
      <c r="G49" s="7">
        <f t="shared" ref="G49:H49" si="46">(E49-E48)/E48</f>
        <v>1.2408286577470869E-3</v>
      </c>
      <c r="H49" s="7">
        <f t="shared" si="46"/>
        <v>-0.38971807628524047</v>
      </c>
      <c r="I49" s="8">
        <f>IF(COUNTIF(Event_Rumor!$B$2:$B$9,A49)&gt;0,1,0)</f>
        <v>0</v>
      </c>
      <c r="J49" s="8" t="str">
        <f t="array" ref="J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" s="8" t="str">
        <f t="array" ref="K49">IF(I49=1,"Event",IF(J49="-","Normal",IF(INDEX(Event_Rumor!$G$2:$G$9,MATCH(J49,Event_Rumor!$A$2:$A$9,0))&gt;ROW(),"Pre","Post")))</f>
        <v>Normal</v>
      </c>
      <c r="L49" s="11" t="str">
        <f t="array" ref="L49">IF(J49="-","-",INDEX(Event_Rumor!$E$2:$E$9,MATCH(J49,Event_Rumor!$A$2:$A$9,0)))</f>
        <v>-</v>
      </c>
    </row>
    <row r="50" spans="1:12" ht="15" customHeight="1" x14ac:dyDescent="0.3">
      <c r="A50" s="26">
        <v>45366</v>
      </c>
      <c r="B50" s="6">
        <v>18512</v>
      </c>
      <c r="C50" s="6">
        <v>18536</v>
      </c>
      <c r="D50" s="6">
        <v>18369</v>
      </c>
      <c r="E50" s="6">
        <v>18464</v>
      </c>
      <c r="F50" s="6">
        <v>22300</v>
      </c>
      <c r="G50" s="7">
        <f t="shared" ref="G50:H50" si="47">(E50-E49)/E49</f>
        <v>-5.1188102807263325E-3</v>
      </c>
      <c r="H50" s="7">
        <f t="shared" si="47"/>
        <v>-0.39402173913043476</v>
      </c>
      <c r="I50" s="8">
        <f>IF(COUNTIF(Event_Rumor!$B$2:$B$9,A50)&gt;0,1,0)</f>
        <v>0</v>
      </c>
      <c r="J50" s="8" t="str">
        <f t="array" ref="J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" s="8" t="str">
        <f t="array" ref="K50">IF(I50=1,"Event",IF(J50="-","Normal",IF(INDEX(Event_Rumor!$G$2:$G$9,MATCH(J50,Event_Rumor!$A$2:$A$9,0))&gt;ROW(),"Pre","Post")))</f>
        <v>Normal</v>
      </c>
      <c r="L50" s="11" t="str">
        <f t="array" ref="L50">IF(J50="-","-",INDEX(Event_Rumor!$E$2:$E$9,MATCH(J50,Event_Rumor!$A$2:$A$9,0)))</f>
        <v>-</v>
      </c>
    </row>
    <row r="51" spans="1:12" ht="15" customHeight="1" x14ac:dyDescent="0.3">
      <c r="A51" s="26">
        <v>45369</v>
      </c>
      <c r="B51" s="6">
        <v>18369</v>
      </c>
      <c r="C51" s="6">
        <v>18559</v>
      </c>
      <c r="D51" s="6">
        <v>18369</v>
      </c>
      <c r="E51" s="6">
        <v>18464</v>
      </c>
      <c r="F51" s="6">
        <v>45900</v>
      </c>
      <c r="G51" s="7">
        <f t="shared" ref="G51:H51" si="48">(E51-E50)/E50</f>
        <v>0</v>
      </c>
      <c r="H51" s="7">
        <f t="shared" si="48"/>
        <v>1.0582959641255605</v>
      </c>
      <c r="I51" s="8">
        <f>IF(COUNTIF(Event_Rumor!$B$2:$B$9,A51)&gt;0,1,0)</f>
        <v>0</v>
      </c>
      <c r="J51" s="8" t="str">
        <f t="array" ref="J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" s="8" t="str">
        <f t="array" ref="K51">IF(I51=1,"Event",IF(J51="-","Normal",IF(INDEX(Event_Rumor!$G$2:$G$9,MATCH(J51,Event_Rumor!$A$2:$A$9,0))&gt;ROW(),"Pre","Post")))</f>
        <v>Normal</v>
      </c>
      <c r="L51" s="11" t="str">
        <f t="array" ref="L51">IF(J51="-","-",INDEX(Event_Rumor!$E$2:$E$9,MATCH(J51,Event_Rumor!$A$2:$A$9,0)))</f>
        <v>-</v>
      </c>
    </row>
    <row r="52" spans="1:12" ht="15" customHeight="1" x14ac:dyDescent="0.3">
      <c r="A52" s="26">
        <v>45370</v>
      </c>
      <c r="B52" s="6">
        <v>18464</v>
      </c>
      <c r="C52" s="6">
        <v>18536</v>
      </c>
      <c r="D52" s="6">
        <v>18345</v>
      </c>
      <c r="E52" s="6">
        <v>18464</v>
      </c>
      <c r="F52" s="6">
        <v>81900</v>
      </c>
      <c r="G52" s="7">
        <f t="shared" ref="G52:H52" si="49">(E52-E51)/E51</f>
        <v>0</v>
      </c>
      <c r="H52" s="7">
        <f t="shared" si="49"/>
        <v>0.78431372549019607</v>
      </c>
      <c r="I52" s="8">
        <f>IF(COUNTIF(Event_Rumor!$B$2:$B$9,A52)&gt;0,1,0)</f>
        <v>0</v>
      </c>
      <c r="J52" s="8" t="str">
        <f t="array" ref="J5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" s="8" t="str">
        <f t="array" ref="K52">IF(I52=1,"Event",IF(J52="-","Normal",IF(INDEX(Event_Rumor!$G$2:$G$9,MATCH(J52,Event_Rumor!$A$2:$A$9,0))&gt;ROW(),"Pre","Post")))</f>
        <v>Normal</v>
      </c>
      <c r="L52" s="11" t="str">
        <f t="array" ref="L52">IF(J52="-","-",INDEX(Event_Rumor!$E$2:$E$9,MATCH(J52,Event_Rumor!$A$2:$A$9,0)))</f>
        <v>-</v>
      </c>
    </row>
    <row r="53" spans="1:12" ht="15" customHeight="1" x14ac:dyDescent="0.3">
      <c r="A53" s="26">
        <v>45371</v>
      </c>
      <c r="B53" s="6">
        <v>18464</v>
      </c>
      <c r="C53" s="6">
        <v>18536</v>
      </c>
      <c r="D53" s="6">
        <v>18369</v>
      </c>
      <c r="E53" s="6">
        <v>18512</v>
      </c>
      <c r="F53" s="6">
        <v>42400</v>
      </c>
      <c r="G53" s="7">
        <f t="shared" ref="G53:H53" si="50">(E53-E52)/E52</f>
        <v>2.5996533795493936E-3</v>
      </c>
      <c r="H53" s="7">
        <f t="shared" si="50"/>
        <v>-0.4822954822954823</v>
      </c>
      <c r="I53" s="8">
        <f>IF(COUNTIF(Event_Rumor!$B$2:$B$9,A53)&gt;0,1,0)</f>
        <v>0</v>
      </c>
      <c r="J53" s="8" t="str">
        <f t="array" ref="J5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3" s="8" t="str">
        <f t="array" ref="K53">IF(I53=1,"Event",IF(J53="-","Normal",IF(INDEX(Event_Rumor!$G$2:$G$9,MATCH(J53,Event_Rumor!$A$2:$A$9,0))&gt;ROW(),"Pre","Post")))</f>
        <v>Normal</v>
      </c>
      <c r="L53" s="11" t="str">
        <f t="array" ref="L53">IF(J53="-","-",INDEX(Event_Rumor!$E$2:$E$9,MATCH(J53,Event_Rumor!$A$2:$A$9,0)))</f>
        <v>-</v>
      </c>
    </row>
    <row r="54" spans="1:12" ht="15" customHeight="1" x14ac:dyDescent="0.3">
      <c r="A54" s="26">
        <v>45372</v>
      </c>
      <c r="B54" s="6">
        <v>18488</v>
      </c>
      <c r="C54" s="6">
        <v>18559</v>
      </c>
      <c r="D54" s="6">
        <v>18179</v>
      </c>
      <c r="E54" s="6">
        <v>18512</v>
      </c>
      <c r="F54" s="6">
        <v>103400</v>
      </c>
      <c r="G54" s="7">
        <f t="shared" ref="G54:H54" si="51">(E54-E53)/E53</f>
        <v>0</v>
      </c>
      <c r="H54" s="7">
        <f t="shared" si="51"/>
        <v>1.4386792452830188</v>
      </c>
      <c r="I54" s="8">
        <f>IF(COUNTIF(Event_Rumor!$B$2:$B$9,A54)&gt;0,1,0)</f>
        <v>0</v>
      </c>
      <c r="J54" s="8" t="str">
        <f t="array" ref="J5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" s="8" t="str">
        <f t="array" ref="K54">IF(I54=1,"Event",IF(J54="-","Normal",IF(INDEX(Event_Rumor!$G$2:$G$9,MATCH(J54,Event_Rumor!$A$2:$A$9,0))&gt;ROW(),"Pre","Post")))</f>
        <v>Normal</v>
      </c>
      <c r="L54" s="11" t="str">
        <f t="array" ref="L54">IF(J54="-","-",INDEX(Event_Rumor!$E$2:$E$9,MATCH(J54,Event_Rumor!$A$2:$A$9,0)))</f>
        <v>-</v>
      </c>
    </row>
    <row r="55" spans="1:12" ht="15" customHeight="1" x14ac:dyDescent="0.3">
      <c r="A55" s="26">
        <v>45373</v>
      </c>
      <c r="B55" s="6">
        <v>18393</v>
      </c>
      <c r="C55" s="6">
        <v>18536</v>
      </c>
      <c r="D55" s="6">
        <v>18298</v>
      </c>
      <c r="E55" s="6">
        <v>18536</v>
      </c>
      <c r="F55" s="6">
        <v>61900</v>
      </c>
      <c r="G55" s="7">
        <f t="shared" ref="G55:H55" si="52">(E55-E54)/E54</f>
        <v>1.2964563526361278E-3</v>
      </c>
      <c r="H55" s="7">
        <f t="shared" si="52"/>
        <v>-0.40135396518375244</v>
      </c>
      <c r="I55" s="8">
        <f>IF(COUNTIF(Event_Rumor!$B$2:$B$9,A55)&gt;0,1,0)</f>
        <v>0</v>
      </c>
      <c r="J55" s="8" t="str">
        <f t="array" ref="J5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" s="8" t="str">
        <f t="array" ref="K55">IF(I55=1,"Event",IF(J55="-","Normal",IF(INDEX(Event_Rumor!$G$2:$G$9,MATCH(J55,Event_Rumor!$A$2:$A$9,0))&gt;ROW(),"Pre","Post")))</f>
        <v>Normal</v>
      </c>
      <c r="L55" s="11" t="str">
        <f t="array" ref="L55">IF(J55="-","-",INDEX(Event_Rumor!$E$2:$E$9,MATCH(J55,Event_Rumor!$A$2:$A$9,0)))</f>
        <v>-</v>
      </c>
    </row>
    <row r="56" spans="1:12" ht="15" customHeight="1" x14ac:dyDescent="0.3">
      <c r="A56" s="26">
        <v>45376</v>
      </c>
      <c r="B56" s="6">
        <v>18417</v>
      </c>
      <c r="C56" s="6">
        <v>18417</v>
      </c>
      <c r="D56" s="6">
        <v>18107</v>
      </c>
      <c r="E56" s="6">
        <v>18107</v>
      </c>
      <c r="F56" s="6">
        <v>100200</v>
      </c>
      <c r="G56" s="7">
        <f t="shared" ref="G56:H56" si="53">(E56-E55)/E55</f>
        <v>-2.3144151920586966E-2</v>
      </c>
      <c r="H56" s="7">
        <f t="shared" si="53"/>
        <v>0.61873990306946691</v>
      </c>
      <c r="I56" s="8">
        <f>IF(COUNTIF(Event_Rumor!$B$2:$B$9,A56)&gt;0,1,0)</f>
        <v>0</v>
      </c>
      <c r="J56" s="8" t="str">
        <f t="array" ref="J5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6" s="8" t="str">
        <f t="array" ref="K56">IF(I56=1,"Event",IF(J56="-","Normal",IF(INDEX(Event_Rumor!$G$2:$G$9,MATCH(J56,Event_Rumor!$A$2:$A$9,0))&gt;ROW(),"Pre","Post")))</f>
        <v>Normal</v>
      </c>
      <c r="L56" s="11" t="str">
        <f t="array" ref="L56">IF(J56="-","-",INDEX(Event_Rumor!$E$2:$E$9,MATCH(J56,Event_Rumor!$A$2:$A$9,0)))</f>
        <v>-</v>
      </c>
    </row>
    <row r="57" spans="1:12" ht="15" customHeight="1" x14ac:dyDescent="0.3">
      <c r="A57" s="26">
        <v>45377</v>
      </c>
      <c r="B57" s="6">
        <v>18512</v>
      </c>
      <c r="C57" s="6">
        <v>18512</v>
      </c>
      <c r="D57" s="6">
        <v>18131</v>
      </c>
      <c r="E57" s="6">
        <v>18321</v>
      </c>
      <c r="F57" s="6">
        <v>100100</v>
      </c>
      <c r="G57" s="7">
        <f t="shared" ref="G57:H57" si="54">(E57-E56)/E56</f>
        <v>1.1818633677583255E-2</v>
      </c>
      <c r="H57" s="7">
        <f t="shared" si="54"/>
        <v>-9.9800399201596798E-4</v>
      </c>
      <c r="I57" s="8">
        <f>IF(COUNTIF(Event_Rumor!$B$2:$B$9,A57)&gt;0,1,0)</f>
        <v>0</v>
      </c>
      <c r="J57" s="8" t="str">
        <f t="array" ref="J5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" s="8" t="str">
        <f t="array" ref="K57">IF(I57=1,"Event",IF(J57="-","Normal",IF(INDEX(Event_Rumor!$G$2:$G$9,MATCH(J57,Event_Rumor!$A$2:$A$9,0))&gt;ROW(),"Pre","Post")))</f>
        <v>Normal</v>
      </c>
      <c r="L57" s="11" t="str">
        <f t="array" ref="L57">IF(J57="-","-",INDEX(Event_Rumor!$E$2:$E$9,MATCH(J57,Event_Rumor!$A$2:$A$9,0)))</f>
        <v>-</v>
      </c>
    </row>
    <row r="58" spans="1:12" ht="15" customHeight="1" x14ac:dyDescent="0.3">
      <c r="A58" s="26">
        <v>45378</v>
      </c>
      <c r="B58" s="6">
        <v>18321</v>
      </c>
      <c r="C58" s="6">
        <v>18393</v>
      </c>
      <c r="D58" s="6">
        <v>17608</v>
      </c>
      <c r="E58" s="6">
        <v>18036</v>
      </c>
      <c r="F58" s="6">
        <v>111100</v>
      </c>
      <c r="G58" s="7">
        <f t="shared" ref="G58:H58" si="55">(E58-E57)/E57</f>
        <v>-1.555591943671197E-2</v>
      </c>
      <c r="H58" s="7">
        <f t="shared" si="55"/>
        <v>0.10989010989010989</v>
      </c>
      <c r="I58" s="8">
        <f>IF(COUNTIF(Event_Rumor!$B$2:$B$9,A58)&gt;0,1,0)</f>
        <v>0</v>
      </c>
      <c r="J58" s="8" t="str">
        <f t="array" ref="J5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" s="8" t="str">
        <f t="array" ref="K58">IF(I58=1,"Event",IF(J58="-","Normal",IF(INDEX(Event_Rumor!$G$2:$G$9,MATCH(J58,Event_Rumor!$A$2:$A$9,0))&gt;ROW(),"Pre","Post")))</f>
        <v>Normal</v>
      </c>
      <c r="L58" s="11" t="str">
        <f t="array" ref="L58">IF(J58="-","-",INDEX(Event_Rumor!$E$2:$E$9,MATCH(J58,Event_Rumor!$A$2:$A$9,0)))</f>
        <v>-</v>
      </c>
    </row>
    <row r="59" spans="1:12" ht="15" customHeight="1" x14ac:dyDescent="0.3">
      <c r="A59" s="26">
        <v>45379</v>
      </c>
      <c r="B59" s="6">
        <v>18036</v>
      </c>
      <c r="C59" s="6">
        <v>18226</v>
      </c>
      <c r="D59" s="6">
        <v>18036</v>
      </c>
      <c r="E59" s="6">
        <v>18084</v>
      </c>
      <c r="F59" s="6">
        <v>33400</v>
      </c>
      <c r="G59" s="7">
        <f t="shared" ref="G59:H59" si="56">(E59-E58)/E58</f>
        <v>2.6613439787092482E-3</v>
      </c>
      <c r="H59" s="7">
        <f t="shared" si="56"/>
        <v>-0.69936993699369931</v>
      </c>
      <c r="I59" s="8">
        <f>IF(COUNTIF(Event_Rumor!$B$2:$B$9,A59)&gt;0,1,0)</f>
        <v>0</v>
      </c>
      <c r="J59" s="8" t="str">
        <f t="array" ref="J5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" s="8" t="str">
        <f t="array" ref="K59">IF(I59=1,"Event",IF(J59="-","Normal",IF(INDEX(Event_Rumor!$G$2:$G$9,MATCH(J59,Event_Rumor!$A$2:$A$9,0))&gt;ROW(),"Pre","Post")))</f>
        <v>Normal</v>
      </c>
      <c r="L59" s="11" t="str">
        <f t="array" ref="L59">IF(J59="-","-",INDEX(Event_Rumor!$E$2:$E$9,MATCH(J59,Event_Rumor!$A$2:$A$9,0)))</f>
        <v>-</v>
      </c>
    </row>
    <row r="60" spans="1:12" ht="15" customHeight="1" x14ac:dyDescent="0.3">
      <c r="A60" s="26">
        <v>45383</v>
      </c>
      <c r="B60" s="6">
        <v>18179</v>
      </c>
      <c r="C60" s="6">
        <v>18274</v>
      </c>
      <c r="D60" s="6">
        <v>18084</v>
      </c>
      <c r="E60" s="6">
        <v>18131</v>
      </c>
      <c r="F60" s="6">
        <v>30500</v>
      </c>
      <c r="G60" s="7">
        <f t="shared" ref="G60:H60" si="57">(E60-E59)/E59</f>
        <v>2.5989825259898252E-3</v>
      </c>
      <c r="H60" s="7">
        <f t="shared" si="57"/>
        <v>-8.6826347305389226E-2</v>
      </c>
      <c r="I60" s="8">
        <f>IF(COUNTIF(Event_Rumor!$B$2:$B$9,A60)&gt;0,1,0)</f>
        <v>0</v>
      </c>
      <c r="J60" s="8" t="str">
        <f t="array" ref="J6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" s="8" t="str">
        <f t="array" ref="K60">IF(I60=1,"Event",IF(J60="-","Normal",IF(INDEX(Event_Rumor!$G$2:$G$9,MATCH(J60,Event_Rumor!$A$2:$A$9,0))&gt;ROW(),"Pre","Post")))</f>
        <v>Normal</v>
      </c>
      <c r="L60" s="11" t="str">
        <f t="array" ref="L60">IF(J60="-","-",INDEX(Event_Rumor!$E$2:$E$9,MATCH(J60,Event_Rumor!$A$2:$A$9,0)))</f>
        <v>-</v>
      </c>
    </row>
    <row r="61" spans="1:12" ht="15" customHeight="1" x14ac:dyDescent="0.3">
      <c r="A61" s="26">
        <v>45384</v>
      </c>
      <c r="B61" s="6">
        <v>18179</v>
      </c>
      <c r="C61" s="6">
        <v>18345</v>
      </c>
      <c r="D61" s="6">
        <v>18155</v>
      </c>
      <c r="E61" s="6">
        <v>18179</v>
      </c>
      <c r="F61" s="6">
        <v>38500</v>
      </c>
      <c r="G61" s="7">
        <f t="shared" ref="G61:H61" si="58">(E61-E60)/E60</f>
        <v>2.6473994815509349E-3</v>
      </c>
      <c r="H61" s="7">
        <f t="shared" si="58"/>
        <v>0.26229508196721313</v>
      </c>
      <c r="I61" s="8">
        <f>IF(COUNTIF(Event_Rumor!$B$2:$B$9,A61)&gt;0,1,0)</f>
        <v>0</v>
      </c>
      <c r="J61" s="8" t="str">
        <f t="array" ref="J6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1" s="8" t="str">
        <f t="array" ref="K61">IF(I61=1,"Event",IF(J61="-","Normal",IF(INDEX(Event_Rumor!$G$2:$G$9,MATCH(J61,Event_Rumor!$A$2:$A$9,0))&gt;ROW(),"Pre","Post")))</f>
        <v>Normal</v>
      </c>
      <c r="L61" s="11" t="str">
        <f t="array" ref="L61">IF(J61="-","-",INDEX(Event_Rumor!$E$2:$E$9,MATCH(J61,Event_Rumor!$A$2:$A$9,0)))</f>
        <v>-</v>
      </c>
    </row>
    <row r="62" spans="1:12" ht="15" customHeight="1" x14ac:dyDescent="0.3">
      <c r="A62" s="26">
        <v>45385</v>
      </c>
      <c r="B62" s="6">
        <v>18202</v>
      </c>
      <c r="C62" s="6">
        <v>18202</v>
      </c>
      <c r="D62" s="6">
        <v>17917</v>
      </c>
      <c r="E62" s="6">
        <v>18107</v>
      </c>
      <c r="F62" s="6">
        <v>38200</v>
      </c>
      <c r="G62" s="7">
        <f t="shared" ref="G62:H62" si="59">(E62-E61)/E61</f>
        <v>-3.9606138951537488E-3</v>
      </c>
      <c r="H62" s="7">
        <f t="shared" si="59"/>
        <v>-7.7922077922077922E-3</v>
      </c>
      <c r="I62" s="8">
        <f>IF(COUNTIF(Event_Rumor!$B$2:$B$9,A62)&gt;0,1,0)</f>
        <v>0</v>
      </c>
      <c r="J62" s="8" t="str">
        <f t="array" ref="J6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2" s="8" t="str">
        <f t="array" ref="K62">IF(I62=1,"Event",IF(J62="-","Normal",IF(INDEX(Event_Rumor!$G$2:$G$9,MATCH(J62,Event_Rumor!$A$2:$A$9,0))&gt;ROW(),"Pre","Post")))</f>
        <v>Normal</v>
      </c>
      <c r="L62" s="11" t="str">
        <f t="array" ref="L62">IF(J62="-","-",INDEX(Event_Rumor!$E$2:$E$9,MATCH(J62,Event_Rumor!$A$2:$A$9,0)))</f>
        <v>-</v>
      </c>
    </row>
    <row r="63" spans="1:12" ht="15" customHeight="1" x14ac:dyDescent="0.3">
      <c r="A63" s="26">
        <v>45386</v>
      </c>
      <c r="B63" s="6">
        <v>18131</v>
      </c>
      <c r="C63" s="6">
        <v>18131</v>
      </c>
      <c r="D63" s="6">
        <v>18060</v>
      </c>
      <c r="E63" s="6">
        <v>18131</v>
      </c>
      <c r="F63" s="6">
        <v>23200</v>
      </c>
      <c r="G63" s="7">
        <f t="shared" ref="G63:H63" si="60">(E63-E62)/E62</f>
        <v>1.3254542442149445E-3</v>
      </c>
      <c r="H63" s="7">
        <f t="shared" si="60"/>
        <v>-0.39267015706806285</v>
      </c>
      <c r="I63" s="8">
        <f>IF(COUNTIF(Event_Rumor!$B$2:$B$9,A63)&gt;0,1,0)</f>
        <v>0</v>
      </c>
      <c r="J63" s="8" t="str">
        <f t="array" ref="J6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" s="8" t="str">
        <f t="array" ref="K63">IF(I63=1,"Event",IF(J63="-","Normal",IF(INDEX(Event_Rumor!$G$2:$G$9,MATCH(J63,Event_Rumor!$A$2:$A$9,0))&gt;ROW(),"Pre","Post")))</f>
        <v>Normal</v>
      </c>
      <c r="L63" s="11" t="str">
        <f t="array" ref="L63">IF(J63="-","-",INDEX(Event_Rumor!$E$2:$E$9,MATCH(J63,Event_Rumor!$A$2:$A$9,0)))</f>
        <v>-</v>
      </c>
    </row>
    <row r="64" spans="1:12" ht="15" customHeight="1" x14ac:dyDescent="0.3">
      <c r="A64" s="26">
        <v>45387</v>
      </c>
      <c r="B64" s="6">
        <v>18131</v>
      </c>
      <c r="C64" s="6">
        <v>18179</v>
      </c>
      <c r="D64" s="6">
        <v>17869</v>
      </c>
      <c r="E64" s="6">
        <v>17893</v>
      </c>
      <c r="F64" s="6">
        <v>46000</v>
      </c>
      <c r="G64" s="7">
        <f t="shared" ref="G64:H64" si="61">(E64-E63)/E63</f>
        <v>-1.3126689096023386E-2</v>
      </c>
      <c r="H64" s="7">
        <f t="shared" si="61"/>
        <v>0.98275862068965514</v>
      </c>
      <c r="I64" s="8">
        <f>IF(COUNTIF(Event_Rumor!$B$2:$B$9,A64)&gt;0,1,0)</f>
        <v>0</v>
      </c>
      <c r="J64" s="8" t="str">
        <f t="array" ref="J6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4" s="8" t="str">
        <f t="array" ref="K64">IF(I64=1,"Event",IF(J64="-","Normal",IF(INDEX(Event_Rumor!$G$2:$G$9,MATCH(J64,Event_Rumor!$A$2:$A$9,0))&gt;ROW(),"Pre","Post")))</f>
        <v>Normal</v>
      </c>
      <c r="L64" s="11" t="str">
        <f t="array" ref="L64">IF(J64="-","-",INDEX(Event_Rumor!$E$2:$E$9,MATCH(J64,Event_Rumor!$A$2:$A$9,0)))</f>
        <v>-</v>
      </c>
    </row>
    <row r="65" spans="1:12" ht="15" customHeight="1" x14ac:dyDescent="0.3">
      <c r="A65" s="26">
        <v>45398</v>
      </c>
      <c r="B65" s="6">
        <v>17655</v>
      </c>
      <c r="C65" s="6">
        <v>18226</v>
      </c>
      <c r="D65" s="6">
        <v>17179</v>
      </c>
      <c r="E65" s="6">
        <v>18155</v>
      </c>
      <c r="F65" s="6">
        <v>65100</v>
      </c>
      <c r="G65" s="7">
        <f t="shared" ref="G65:H65" si="62">(E65-E64)/E64</f>
        <v>1.4642597663890908E-2</v>
      </c>
      <c r="H65" s="7">
        <f t="shared" si="62"/>
        <v>0.41521739130434782</v>
      </c>
      <c r="I65" s="8">
        <f>IF(COUNTIF(Event_Rumor!$B$2:$B$9,A65)&gt;0,1,0)</f>
        <v>0</v>
      </c>
      <c r="J65" s="8" t="str">
        <f t="array" ref="J6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5" s="8" t="str">
        <f t="array" ref="K65">IF(I65=1,"Event",IF(J65="-","Normal",IF(INDEX(Event_Rumor!$G$2:$G$9,MATCH(J65,Event_Rumor!$A$2:$A$9,0))&gt;ROW(),"Pre","Post")))</f>
        <v>Normal</v>
      </c>
      <c r="L65" s="11" t="str">
        <f t="array" ref="L65">IF(J65="-","-",INDEX(Event_Rumor!$E$2:$E$9,MATCH(J65,Event_Rumor!$A$2:$A$9,0)))</f>
        <v>-</v>
      </c>
    </row>
    <row r="66" spans="1:12" ht="15" customHeight="1" x14ac:dyDescent="0.3">
      <c r="A66" s="26">
        <v>45399</v>
      </c>
      <c r="B66" s="6">
        <v>18155</v>
      </c>
      <c r="C66" s="6">
        <v>18155</v>
      </c>
      <c r="D66" s="6">
        <v>18012</v>
      </c>
      <c r="E66" s="6">
        <v>18060</v>
      </c>
      <c r="F66" s="6">
        <v>25100</v>
      </c>
      <c r="G66" s="7">
        <f t="shared" ref="G66:H66" si="63">(E66-E65)/E65</f>
        <v>-5.2327182594326628E-3</v>
      </c>
      <c r="H66" s="7">
        <f t="shared" si="63"/>
        <v>-0.61443932411674351</v>
      </c>
      <c r="I66" s="8">
        <f>IF(COUNTIF(Event_Rumor!$B$2:$B$9,A66)&gt;0,1,0)</f>
        <v>0</v>
      </c>
      <c r="J66" s="8" t="str">
        <f t="array" ref="J6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6" s="8" t="str">
        <f t="array" ref="K66">IF(I66=1,"Event",IF(J66="-","Normal",IF(INDEX(Event_Rumor!$G$2:$G$9,MATCH(J66,Event_Rumor!$A$2:$A$9,0))&gt;ROW(),"Pre","Post")))</f>
        <v>Normal</v>
      </c>
      <c r="L66" s="11" t="str">
        <f t="array" ref="L66">IF(J66="-","-",INDEX(Event_Rumor!$E$2:$E$9,MATCH(J66,Event_Rumor!$A$2:$A$9,0)))</f>
        <v>-</v>
      </c>
    </row>
    <row r="67" spans="1:12" ht="15" customHeight="1" x14ac:dyDescent="0.3">
      <c r="A67" s="26">
        <v>45400</v>
      </c>
      <c r="B67" s="6">
        <v>18179</v>
      </c>
      <c r="C67" s="6">
        <v>18179</v>
      </c>
      <c r="D67" s="6">
        <v>18060</v>
      </c>
      <c r="E67" s="6">
        <v>18155</v>
      </c>
      <c r="F67" s="6">
        <v>51300</v>
      </c>
      <c r="G67" s="7">
        <f t="shared" ref="G67:H67" si="64">(E67-E66)/E66</f>
        <v>5.2602436323366556E-3</v>
      </c>
      <c r="H67" s="7">
        <f t="shared" si="64"/>
        <v>1.0438247011952191</v>
      </c>
      <c r="I67" s="8">
        <f>IF(COUNTIF(Event_Rumor!$B$2:$B$9,A67)&gt;0,1,0)</f>
        <v>0</v>
      </c>
      <c r="J67" s="8" t="str">
        <f t="array" ref="J6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7" s="8" t="str">
        <f t="array" ref="K67">IF(I67=1,"Event",IF(J67="-","Normal",IF(INDEX(Event_Rumor!$G$2:$G$9,MATCH(J67,Event_Rumor!$A$2:$A$9,0))&gt;ROW(),"Pre","Post")))</f>
        <v>Normal</v>
      </c>
      <c r="L67" s="11" t="str">
        <f t="array" ref="L67">IF(J67="-","-",INDEX(Event_Rumor!$E$2:$E$9,MATCH(J67,Event_Rumor!$A$2:$A$9,0)))</f>
        <v>-</v>
      </c>
    </row>
    <row r="68" spans="1:12" ht="15" customHeight="1" x14ac:dyDescent="0.3">
      <c r="A68" s="26">
        <v>45401</v>
      </c>
      <c r="B68" s="6">
        <v>18179</v>
      </c>
      <c r="C68" s="6">
        <v>18179</v>
      </c>
      <c r="D68" s="6">
        <v>17941</v>
      </c>
      <c r="E68" s="6">
        <v>18179</v>
      </c>
      <c r="F68" s="6">
        <v>43300</v>
      </c>
      <c r="G68" s="7">
        <f t="shared" ref="G68:H68" si="65">(E68-E67)/E67</f>
        <v>1.321949876067199E-3</v>
      </c>
      <c r="H68" s="7">
        <f t="shared" si="65"/>
        <v>-0.15594541910331383</v>
      </c>
      <c r="I68" s="8">
        <f>IF(COUNTIF(Event_Rumor!$B$2:$B$9,A68)&gt;0,1,0)</f>
        <v>0</v>
      </c>
      <c r="J68" s="8" t="str">
        <f t="array" ref="J6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8" s="8" t="str">
        <f t="array" ref="K68">IF(I68=1,"Event",IF(J68="-","Normal",IF(INDEX(Event_Rumor!$G$2:$G$9,MATCH(J68,Event_Rumor!$A$2:$A$9,0))&gt;ROW(),"Pre","Post")))</f>
        <v>Normal</v>
      </c>
      <c r="L68" s="11" t="str">
        <f t="array" ref="L68">IF(J68="-","-",INDEX(Event_Rumor!$E$2:$E$9,MATCH(J68,Event_Rumor!$A$2:$A$9,0)))</f>
        <v>-</v>
      </c>
    </row>
    <row r="69" spans="1:12" ht="15" customHeight="1" x14ac:dyDescent="0.3">
      <c r="A69" s="26">
        <v>45404</v>
      </c>
      <c r="B69" s="6">
        <v>18179</v>
      </c>
      <c r="C69" s="6">
        <v>18179</v>
      </c>
      <c r="D69" s="6">
        <v>17965</v>
      </c>
      <c r="E69" s="6">
        <v>18012</v>
      </c>
      <c r="F69" s="6">
        <v>24100</v>
      </c>
      <c r="G69" s="7">
        <f t="shared" ref="G69:H69" si="66">(E69-E68)/E68</f>
        <v>-9.1864238957038349E-3</v>
      </c>
      <c r="H69" s="7">
        <f t="shared" si="66"/>
        <v>-0.44341801385681295</v>
      </c>
      <c r="I69" s="8">
        <f>IF(COUNTIF(Event_Rumor!$B$2:$B$9,A69)&gt;0,1,0)</f>
        <v>0</v>
      </c>
      <c r="J69" s="8" t="str">
        <f t="array" ref="J6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9" s="8" t="str">
        <f t="array" ref="K69">IF(I69=1,"Event",IF(J69="-","Normal",IF(INDEX(Event_Rumor!$G$2:$G$9,MATCH(J69,Event_Rumor!$A$2:$A$9,0))&gt;ROW(),"Pre","Post")))</f>
        <v>Normal</v>
      </c>
      <c r="L69" s="11" t="str">
        <f t="array" ref="L69">IF(J69="-","-",INDEX(Event_Rumor!$E$2:$E$9,MATCH(J69,Event_Rumor!$A$2:$A$9,0)))</f>
        <v>-</v>
      </c>
    </row>
    <row r="70" spans="1:12" ht="15" customHeight="1" x14ac:dyDescent="0.3">
      <c r="A70" s="26">
        <v>45405</v>
      </c>
      <c r="B70" s="6">
        <v>18084</v>
      </c>
      <c r="C70" s="6">
        <v>18179</v>
      </c>
      <c r="D70" s="6">
        <v>17608</v>
      </c>
      <c r="E70" s="6">
        <v>17608</v>
      </c>
      <c r="F70" s="6">
        <v>159300</v>
      </c>
      <c r="G70" s="7">
        <f t="shared" ref="G70:H70" si="67">(E70-E69)/E69</f>
        <v>-2.2429491450144348E-2</v>
      </c>
      <c r="H70" s="7">
        <f t="shared" si="67"/>
        <v>5.609958506224066</v>
      </c>
      <c r="I70" s="8">
        <f>IF(COUNTIF(Event_Rumor!$B$2:$B$9,A70)&gt;0,1,0)</f>
        <v>0</v>
      </c>
      <c r="J70" s="8" t="str">
        <f t="array" ref="J7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0" s="8" t="str">
        <f t="array" ref="K70">IF(I70=1,"Event",IF(J70="-","Normal",IF(INDEX(Event_Rumor!$G$2:$G$9,MATCH(J70,Event_Rumor!$A$2:$A$9,0))&gt;ROW(),"Pre","Post")))</f>
        <v>Normal</v>
      </c>
      <c r="L70" s="11" t="str">
        <f t="array" ref="L70">IF(J70="-","-",INDEX(Event_Rumor!$E$2:$E$9,MATCH(J70,Event_Rumor!$A$2:$A$9,0)))</f>
        <v>-</v>
      </c>
    </row>
    <row r="71" spans="1:12" ht="15" customHeight="1" x14ac:dyDescent="0.3">
      <c r="A71" s="26">
        <v>45406</v>
      </c>
      <c r="B71" s="6">
        <v>17655</v>
      </c>
      <c r="C71" s="6">
        <v>18179</v>
      </c>
      <c r="D71" s="6">
        <v>17655</v>
      </c>
      <c r="E71" s="6">
        <v>18131</v>
      </c>
      <c r="F71" s="6">
        <v>112100</v>
      </c>
      <c r="G71" s="7">
        <f t="shared" ref="G71:H71" si="68">(E71-E70)/E70</f>
        <v>2.9702407996365289E-2</v>
      </c>
      <c r="H71" s="7">
        <f t="shared" si="68"/>
        <v>-0.29629629629629628</v>
      </c>
      <c r="I71" s="8">
        <f>IF(COUNTIF(Event_Rumor!$B$2:$B$9,A71)&gt;0,1,0)</f>
        <v>0</v>
      </c>
      <c r="J71" s="8" t="str">
        <f t="array" ref="J7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1" s="8" t="str">
        <f t="array" ref="K71">IF(I71=1,"Event",IF(J71="-","Normal",IF(INDEX(Event_Rumor!$G$2:$G$9,MATCH(J71,Event_Rumor!$A$2:$A$9,0))&gt;ROW(),"Pre","Post")))</f>
        <v>Normal</v>
      </c>
      <c r="L71" s="11" t="str">
        <f t="array" ref="L71">IF(J71="-","-",INDEX(Event_Rumor!$E$2:$E$9,MATCH(J71,Event_Rumor!$A$2:$A$9,0)))</f>
        <v>-</v>
      </c>
    </row>
    <row r="72" spans="1:12" ht="15" customHeight="1" x14ac:dyDescent="0.3">
      <c r="A72" s="26">
        <v>45407</v>
      </c>
      <c r="B72" s="6">
        <v>18155</v>
      </c>
      <c r="C72" s="6">
        <v>18179</v>
      </c>
      <c r="D72" s="6">
        <v>17941</v>
      </c>
      <c r="E72" s="6">
        <v>18107</v>
      </c>
      <c r="F72" s="6">
        <v>27300</v>
      </c>
      <c r="G72" s="7">
        <f t="shared" ref="G72:H72" si="69">(E72-E71)/E71</f>
        <v>-1.3236997407754675E-3</v>
      </c>
      <c r="H72" s="7">
        <f t="shared" si="69"/>
        <v>-0.75646743978590547</v>
      </c>
      <c r="I72" s="8">
        <f>IF(COUNTIF(Event_Rumor!$B$2:$B$9,A72)&gt;0,1,0)</f>
        <v>0</v>
      </c>
      <c r="J72" s="8" t="str">
        <f t="array" ref="J7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2" s="8" t="str">
        <f t="array" ref="K72">IF(I72=1,"Event",IF(J72="-","Normal",IF(INDEX(Event_Rumor!$G$2:$G$9,MATCH(J72,Event_Rumor!$A$2:$A$9,0))&gt;ROW(),"Pre","Post")))</f>
        <v>Normal</v>
      </c>
      <c r="L72" s="11" t="str">
        <f t="array" ref="L72">IF(J72="-","-",INDEX(Event_Rumor!$E$2:$E$9,MATCH(J72,Event_Rumor!$A$2:$A$9,0)))</f>
        <v>-</v>
      </c>
    </row>
    <row r="73" spans="1:12" ht="15" customHeight="1" x14ac:dyDescent="0.3">
      <c r="A73" s="26">
        <v>45408</v>
      </c>
      <c r="B73" s="6">
        <v>18084</v>
      </c>
      <c r="C73" s="6">
        <v>18084</v>
      </c>
      <c r="D73" s="6">
        <v>17869</v>
      </c>
      <c r="E73" s="6">
        <v>17965</v>
      </c>
      <c r="F73" s="6">
        <v>17900</v>
      </c>
      <c r="G73" s="7">
        <f t="shared" ref="G73:H73" si="70">(E73-E72)/E72</f>
        <v>-7.8422709449384211E-3</v>
      </c>
      <c r="H73" s="7">
        <f t="shared" si="70"/>
        <v>-0.34432234432234432</v>
      </c>
      <c r="I73" s="8">
        <f>IF(COUNTIF(Event_Rumor!$B$2:$B$9,A73)&gt;0,1,0)</f>
        <v>0</v>
      </c>
      <c r="J73" s="8" t="str">
        <f t="array" ref="J7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3" s="8" t="str">
        <f t="array" ref="K73">IF(I73=1,"Event",IF(J73="-","Normal",IF(INDEX(Event_Rumor!$G$2:$G$9,MATCH(J73,Event_Rumor!$A$2:$A$9,0))&gt;ROW(),"Pre","Post")))</f>
        <v>Normal</v>
      </c>
      <c r="L73" s="11" t="str">
        <f t="array" ref="L73">IF(J73="-","-",INDEX(Event_Rumor!$E$2:$E$9,MATCH(J73,Event_Rumor!$A$2:$A$9,0)))</f>
        <v>-</v>
      </c>
    </row>
    <row r="74" spans="1:12" ht="15" customHeight="1" x14ac:dyDescent="0.3">
      <c r="A74" s="26">
        <v>45411</v>
      </c>
      <c r="B74" s="6">
        <v>17893</v>
      </c>
      <c r="C74" s="6">
        <v>18084</v>
      </c>
      <c r="D74" s="6">
        <v>17798</v>
      </c>
      <c r="E74" s="6">
        <v>18084</v>
      </c>
      <c r="F74" s="6">
        <v>44200</v>
      </c>
      <c r="G74" s="7">
        <f t="shared" ref="G74:H74" si="71">(E74-E73)/E73</f>
        <v>6.6239910937934869E-3</v>
      </c>
      <c r="H74" s="7">
        <f t="shared" si="71"/>
        <v>1.4692737430167597</v>
      </c>
      <c r="I74" s="8">
        <f>IF(COUNTIF(Event_Rumor!$B$2:$B$9,A74)&gt;0,1,0)</f>
        <v>0</v>
      </c>
      <c r="J74" s="8" t="str">
        <f t="array" ref="J7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4" s="8" t="str">
        <f t="array" ref="K74">IF(I74=1,"Event",IF(J74="-","Normal",IF(INDEX(Event_Rumor!$G$2:$G$9,MATCH(J74,Event_Rumor!$A$2:$A$9,0))&gt;ROW(),"Pre","Post")))</f>
        <v>Normal</v>
      </c>
      <c r="L74" s="11" t="str">
        <f t="array" ref="L74">IF(J74="-","-",INDEX(Event_Rumor!$E$2:$E$9,MATCH(J74,Event_Rumor!$A$2:$A$9,0)))</f>
        <v>-</v>
      </c>
    </row>
    <row r="75" spans="1:12" ht="15" customHeight="1" x14ac:dyDescent="0.3">
      <c r="A75" s="26">
        <v>45412</v>
      </c>
      <c r="B75" s="6">
        <v>17893</v>
      </c>
      <c r="C75" s="6">
        <v>18131</v>
      </c>
      <c r="D75" s="6">
        <v>17846</v>
      </c>
      <c r="E75" s="6">
        <v>18036</v>
      </c>
      <c r="F75" s="6">
        <v>78200</v>
      </c>
      <c r="G75" s="7">
        <f t="shared" ref="G75:H75" si="72">(E75-E74)/E74</f>
        <v>-2.6542800265428003E-3</v>
      </c>
      <c r="H75" s="7">
        <f t="shared" si="72"/>
        <v>0.76923076923076927</v>
      </c>
      <c r="I75" s="8">
        <f>IF(COUNTIF(Event_Rumor!$B$2:$B$9,A75)&gt;0,1,0)</f>
        <v>0</v>
      </c>
      <c r="J75" s="8" t="str">
        <f t="array" ref="J7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5" s="8" t="str">
        <f t="array" ref="K75">IF(I75=1,"Event",IF(J75="-","Normal",IF(INDEX(Event_Rumor!$G$2:$G$9,MATCH(J75,Event_Rumor!$A$2:$A$9,0))&gt;ROW(),"Pre","Post")))</f>
        <v>Normal</v>
      </c>
      <c r="L75" s="11" t="str">
        <f t="array" ref="L75">IF(J75="-","-",INDEX(Event_Rumor!$E$2:$E$9,MATCH(J75,Event_Rumor!$A$2:$A$9,0)))</f>
        <v>-</v>
      </c>
    </row>
    <row r="76" spans="1:12" ht="15" customHeight="1" x14ac:dyDescent="0.3">
      <c r="A76" s="26">
        <v>45414</v>
      </c>
      <c r="B76" s="6">
        <v>18060</v>
      </c>
      <c r="C76" s="6">
        <v>18107</v>
      </c>
      <c r="D76" s="6">
        <v>17846</v>
      </c>
      <c r="E76" s="6">
        <v>18084</v>
      </c>
      <c r="F76" s="6">
        <v>65200</v>
      </c>
      <c r="G76" s="7">
        <f t="shared" ref="G76:H76" si="73">(E76-E75)/E75</f>
        <v>2.6613439787092482E-3</v>
      </c>
      <c r="H76" s="7">
        <f t="shared" si="73"/>
        <v>-0.16624040920716113</v>
      </c>
      <c r="I76" s="8">
        <f>IF(COUNTIF(Event_Rumor!$B$2:$B$9,A76)&gt;0,1,0)</f>
        <v>0</v>
      </c>
      <c r="J76" s="8" t="str">
        <f t="array" ref="J7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6" s="8" t="str">
        <f t="array" ref="K76">IF(I76=1,"Event",IF(J76="-","Normal",IF(INDEX(Event_Rumor!$G$2:$G$9,MATCH(J76,Event_Rumor!$A$2:$A$9,0))&gt;ROW(),"Pre","Post")))</f>
        <v>Normal</v>
      </c>
      <c r="L76" s="11" t="str">
        <f t="array" ref="L76">IF(J76="-","-",INDEX(Event_Rumor!$E$2:$E$9,MATCH(J76,Event_Rumor!$A$2:$A$9,0)))</f>
        <v>-</v>
      </c>
    </row>
    <row r="77" spans="1:12" ht="15" customHeight="1" x14ac:dyDescent="0.3">
      <c r="A77" s="26">
        <v>45415</v>
      </c>
      <c r="B77" s="6">
        <v>18084</v>
      </c>
      <c r="C77" s="6">
        <v>18179</v>
      </c>
      <c r="D77" s="6">
        <v>18036</v>
      </c>
      <c r="E77" s="6">
        <v>18179</v>
      </c>
      <c r="F77" s="6">
        <v>331800</v>
      </c>
      <c r="G77" s="7">
        <f t="shared" ref="G77:H77" si="74">(E77-E76)/E76</f>
        <v>5.2532625525326254E-3</v>
      </c>
      <c r="H77" s="7">
        <f t="shared" si="74"/>
        <v>4.0889570552147241</v>
      </c>
      <c r="I77" s="8">
        <f>IF(COUNTIF(Event_Rumor!$B$2:$B$9,A77)&gt;0,1,0)</f>
        <v>0</v>
      </c>
      <c r="J77" s="8" t="str">
        <f t="array" ref="J7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7" s="8" t="str">
        <f t="array" ref="K77">IF(I77=1,"Event",IF(J77="-","Normal",IF(INDEX(Event_Rumor!$G$2:$G$9,MATCH(J77,Event_Rumor!$A$2:$A$9,0))&gt;ROW(),"Pre","Post")))</f>
        <v>Normal</v>
      </c>
      <c r="L77" s="11" t="str">
        <f t="array" ref="L77">IF(J77="-","-",INDEX(Event_Rumor!$E$2:$E$9,MATCH(J77,Event_Rumor!$A$2:$A$9,0)))</f>
        <v>-</v>
      </c>
    </row>
    <row r="78" spans="1:12" ht="15" customHeight="1" x14ac:dyDescent="0.3">
      <c r="A78" s="26">
        <v>45418</v>
      </c>
      <c r="B78" s="6">
        <v>18202</v>
      </c>
      <c r="C78" s="6">
        <v>18202</v>
      </c>
      <c r="D78" s="6">
        <v>17893</v>
      </c>
      <c r="E78" s="6">
        <v>18107</v>
      </c>
      <c r="F78" s="6">
        <v>40000</v>
      </c>
      <c r="G78" s="7">
        <f t="shared" ref="G78:H78" si="75">(E78-E77)/E77</f>
        <v>-3.9606138951537488E-3</v>
      </c>
      <c r="H78" s="7">
        <f t="shared" si="75"/>
        <v>-0.87944544906570221</v>
      </c>
      <c r="I78" s="8">
        <f>IF(COUNTIF(Event_Rumor!$B$2:$B$9,A78)&gt;0,1,0)</f>
        <v>0</v>
      </c>
      <c r="J78" s="8" t="str">
        <f t="array" ref="J7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8" s="8" t="str">
        <f t="array" ref="K78">IF(I78=1,"Event",IF(J78="-","Normal",IF(INDEX(Event_Rumor!$G$2:$G$9,MATCH(J78,Event_Rumor!$A$2:$A$9,0))&gt;ROW(),"Pre","Post")))</f>
        <v>Normal</v>
      </c>
      <c r="L78" s="11" t="str">
        <f t="array" ref="L78">IF(J78="-","-",INDEX(Event_Rumor!$E$2:$E$9,MATCH(J78,Event_Rumor!$A$2:$A$9,0)))</f>
        <v>-</v>
      </c>
    </row>
    <row r="79" spans="1:12" ht="15" customHeight="1" x14ac:dyDescent="0.3">
      <c r="A79" s="26">
        <v>45419</v>
      </c>
      <c r="B79" s="6">
        <v>17988</v>
      </c>
      <c r="C79" s="6">
        <v>18155</v>
      </c>
      <c r="D79" s="6">
        <v>17917</v>
      </c>
      <c r="E79" s="6">
        <v>18131</v>
      </c>
      <c r="F79" s="6">
        <v>40500</v>
      </c>
      <c r="G79" s="7">
        <f t="shared" ref="G79:H79" si="76">(E79-E78)/E78</f>
        <v>1.3254542442149445E-3</v>
      </c>
      <c r="H79" s="7">
        <f t="shared" si="76"/>
        <v>1.2500000000000001E-2</v>
      </c>
      <c r="I79" s="8">
        <f>IF(COUNTIF(Event_Rumor!$B$2:$B$9,A79)&gt;0,1,0)</f>
        <v>0</v>
      </c>
      <c r="J79" s="8" t="str">
        <f t="array" ref="J7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79" s="8" t="str">
        <f t="array" ref="K79">IF(I79=1,"Event",IF(J79="-","Normal",IF(INDEX(Event_Rumor!$G$2:$G$9,MATCH(J79,Event_Rumor!$A$2:$A$9,0))&gt;ROW(),"Pre","Post")))</f>
        <v>Normal</v>
      </c>
      <c r="L79" s="11" t="str">
        <f t="array" ref="L79">IF(J79="-","-",INDEX(Event_Rumor!$E$2:$E$9,MATCH(J79,Event_Rumor!$A$2:$A$9,0)))</f>
        <v>-</v>
      </c>
    </row>
    <row r="80" spans="1:12" ht="15" customHeight="1" x14ac:dyDescent="0.3">
      <c r="A80" s="26">
        <v>45420</v>
      </c>
      <c r="B80" s="6">
        <v>17988</v>
      </c>
      <c r="C80" s="6">
        <v>18131</v>
      </c>
      <c r="D80" s="6">
        <v>17941</v>
      </c>
      <c r="E80" s="6">
        <v>17988</v>
      </c>
      <c r="F80" s="6">
        <v>27600</v>
      </c>
      <c r="G80" s="7">
        <f t="shared" ref="G80:H80" si="77">(E80-E79)/E79</f>
        <v>-7.8870442887871602E-3</v>
      </c>
      <c r="H80" s="7">
        <f t="shared" si="77"/>
        <v>-0.31851851851851853</v>
      </c>
      <c r="I80" s="8">
        <f>IF(COUNTIF(Event_Rumor!$B$2:$B$9,A80)&gt;0,1,0)</f>
        <v>0</v>
      </c>
      <c r="J80" s="8" t="str">
        <f t="array" ref="J8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0" s="8" t="str">
        <f t="array" ref="K80">IF(I80=1,"Event",IF(J80="-","Normal",IF(INDEX(Event_Rumor!$G$2:$G$9,MATCH(J80,Event_Rumor!$A$2:$A$9,0))&gt;ROW(),"Pre","Post")))</f>
        <v>Normal</v>
      </c>
      <c r="L80" s="11" t="str">
        <f t="array" ref="L80">IF(J80="-","-",INDEX(Event_Rumor!$E$2:$E$9,MATCH(J80,Event_Rumor!$A$2:$A$9,0)))</f>
        <v>-</v>
      </c>
    </row>
    <row r="81" spans="1:12" ht="15" customHeight="1" x14ac:dyDescent="0.3">
      <c r="A81" s="26">
        <v>45425</v>
      </c>
      <c r="B81" s="6">
        <v>17988</v>
      </c>
      <c r="C81" s="6">
        <v>18179</v>
      </c>
      <c r="D81" s="6">
        <v>17798</v>
      </c>
      <c r="E81" s="6">
        <v>18084</v>
      </c>
      <c r="F81" s="6">
        <v>41800</v>
      </c>
      <c r="G81" s="7">
        <f t="shared" ref="G81:H81" si="78">(E81-E80)/E80</f>
        <v>5.3368912608405599E-3</v>
      </c>
      <c r="H81" s="7">
        <f t="shared" si="78"/>
        <v>0.51449275362318836</v>
      </c>
      <c r="I81" s="8">
        <f>IF(COUNTIF(Event_Rumor!$B$2:$B$9,A81)&gt;0,1,0)</f>
        <v>0</v>
      </c>
      <c r="J81" s="8" t="str">
        <f t="array" ref="J8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1" s="8" t="str">
        <f t="array" ref="K81">IF(I81=1,"Event",IF(J81="-","Normal",IF(INDEX(Event_Rumor!$G$2:$G$9,MATCH(J81,Event_Rumor!$A$2:$A$9,0))&gt;ROW(),"Pre","Post")))</f>
        <v>Normal</v>
      </c>
      <c r="L81" s="11" t="str">
        <f t="array" ref="L81">IF(J81="-","-",INDEX(Event_Rumor!$E$2:$E$9,MATCH(J81,Event_Rumor!$A$2:$A$9,0)))</f>
        <v>-</v>
      </c>
    </row>
    <row r="82" spans="1:12" ht="15" customHeight="1" x14ac:dyDescent="0.3">
      <c r="A82" s="26">
        <v>45426</v>
      </c>
      <c r="B82" s="6">
        <v>17917</v>
      </c>
      <c r="C82" s="6">
        <v>18131</v>
      </c>
      <c r="D82" s="6">
        <v>17917</v>
      </c>
      <c r="E82" s="6">
        <v>18084</v>
      </c>
      <c r="F82" s="6">
        <v>26800</v>
      </c>
      <c r="G82" s="7">
        <f t="shared" ref="G82:H82" si="79">(E82-E81)/E81</f>
        <v>0</v>
      </c>
      <c r="H82" s="7">
        <f t="shared" si="79"/>
        <v>-0.35885167464114831</v>
      </c>
      <c r="I82" s="8">
        <f>IF(COUNTIF(Event_Rumor!$B$2:$B$9,A82)&gt;0,1,0)</f>
        <v>0</v>
      </c>
      <c r="J82" s="8" t="str">
        <f t="array" ref="J8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2" s="8" t="str">
        <f t="array" ref="K82">IF(I82=1,"Event",IF(J82="-","Normal",IF(INDEX(Event_Rumor!$G$2:$G$9,MATCH(J82,Event_Rumor!$A$2:$A$9,0))&gt;ROW(),"Pre","Post")))</f>
        <v>Normal</v>
      </c>
      <c r="L82" s="11" t="str">
        <f t="array" ref="L82">IF(J82="-","-",INDEX(Event_Rumor!$E$2:$E$9,MATCH(J82,Event_Rumor!$A$2:$A$9,0)))</f>
        <v>-</v>
      </c>
    </row>
    <row r="83" spans="1:12" ht="15" customHeight="1" x14ac:dyDescent="0.3">
      <c r="A83" s="26">
        <v>45427</v>
      </c>
      <c r="B83" s="6">
        <v>17965</v>
      </c>
      <c r="C83" s="6">
        <v>18036</v>
      </c>
      <c r="D83" s="6">
        <v>17965</v>
      </c>
      <c r="E83" s="6">
        <v>17965</v>
      </c>
      <c r="F83" s="6">
        <v>15600</v>
      </c>
      <c r="G83" s="7">
        <f t="shared" ref="G83:H83" si="80">(E83-E82)/E82</f>
        <v>-6.580402565804026E-3</v>
      </c>
      <c r="H83" s="7">
        <f t="shared" si="80"/>
        <v>-0.41791044776119401</v>
      </c>
      <c r="I83" s="8">
        <f>IF(COUNTIF(Event_Rumor!$B$2:$B$9,A83)&gt;0,1,0)</f>
        <v>0</v>
      </c>
      <c r="J83" s="8" t="str">
        <f t="array" ref="J8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3" s="8" t="str">
        <f t="array" ref="K83">IF(I83=1,"Event",IF(J83="-","Normal",IF(INDEX(Event_Rumor!$G$2:$G$9,MATCH(J83,Event_Rumor!$A$2:$A$9,0))&gt;ROW(),"Pre","Post")))</f>
        <v>Normal</v>
      </c>
      <c r="L83" s="11" t="str">
        <f t="array" ref="L83">IF(J83="-","-",INDEX(Event_Rumor!$E$2:$E$9,MATCH(J83,Event_Rumor!$A$2:$A$9,0)))</f>
        <v>-</v>
      </c>
    </row>
    <row r="84" spans="1:12" ht="15" customHeight="1" x14ac:dyDescent="0.3">
      <c r="A84" s="26">
        <v>45428</v>
      </c>
      <c r="B84" s="6">
        <v>17941</v>
      </c>
      <c r="C84" s="6">
        <v>18012</v>
      </c>
      <c r="D84" s="6">
        <v>17798</v>
      </c>
      <c r="E84" s="6">
        <v>17965</v>
      </c>
      <c r="F84" s="6">
        <v>66100</v>
      </c>
      <c r="G84" s="7">
        <f t="shared" ref="G84:H84" si="81">(E84-E83)/E83</f>
        <v>0</v>
      </c>
      <c r="H84" s="7">
        <f t="shared" si="81"/>
        <v>3.2371794871794872</v>
      </c>
      <c r="I84" s="8">
        <f>IF(COUNTIF(Event_Rumor!$B$2:$B$9,A84)&gt;0,1,0)</f>
        <v>0</v>
      </c>
      <c r="J84" s="8" t="str">
        <f t="array" ref="J8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4" s="8" t="str">
        <f t="array" ref="K84">IF(I84=1,"Event",IF(J84="-","Normal",IF(INDEX(Event_Rumor!$G$2:$G$9,MATCH(J84,Event_Rumor!$A$2:$A$9,0))&gt;ROW(),"Pre","Post")))</f>
        <v>Normal</v>
      </c>
      <c r="L84" s="11" t="str">
        <f t="array" ref="L84">IF(J84="-","-",INDEX(Event_Rumor!$E$2:$E$9,MATCH(J84,Event_Rumor!$A$2:$A$9,0)))</f>
        <v>-</v>
      </c>
    </row>
    <row r="85" spans="1:12" ht="15" customHeight="1" x14ac:dyDescent="0.3">
      <c r="A85" s="26">
        <v>45429</v>
      </c>
      <c r="B85" s="6">
        <v>17965</v>
      </c>
      <c r="C85" s="6">
        <v>18084</v>
      </c>
      <c r="D85" s="6">
        <v>17869</v>
      </c>
      <c r="E85" s="6">
        <v>18036</v>
      </c>
      <c r="F85" s="6">
        <v>64500</v>
      </c>
      <c r="G85" s="7">
        <f t="shared" ref="G85:H85" si="82">(E85-E84)/E84</f>
        <v>3.952129139994434E-3</v>
      </c>
      <c r="H85" s="7">
        <f t="shared" si="82"/>
        <v>-2.4205748865355523E-2</v>
      </c>
      <c r="I85" s="8">
        <f>IF(COUNTIF(Event_Rumor!$B$2:$B$9,A85)&gt;0,1,0)</f>
        <v>0</v>
      </c>
      <c r="J85" s="8" t="str">
        <f t="array" ref="J8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5" s="8" t="str">
        <f t="array" ref="K85">IF(I85=1,"Event",IF(J85="-","Normal",IF(INDEX(Event_Rumor!$G$2:$G$9,MATCH(J85,Event_Rumor!$A$2:$A$9,0))&gt;ROW(),"Pre","Post")))</f>
        <v>Normal</v>
      </c>
      <c r="L85" s="11" t="str">
        <f t="array" ref="L85">IF(J85="-","-",INDEX(Event_Rumor!$E$2:$E$9,MATCH(J85,Event_Rumor!$A$2:$A$9,0)))</f>
        <v>-</v>
      </c>
    </row>
    <row r="86" spans="1:12" ht="15" customHeight="1" x14ac:dyDescent="0.3">
      <c r="A86" s="26">
        <v>45432</v>
      </c>
      <c r="B86" s="6">
        <v>18012</v>
      </c>
      <c r="C86" s="6">
        <v>18036</v>
      </c>
      <c r="D86" s="6">
        <v>17917</v>
      </c>
      <c r="E86" s="6">
        <v>17965</v>
      </c>
      <c r="F86" s="6">
        <v>59400</v>
      </c>
      <c r="G86" s="7">
        <f t="shared" ref="G86:H86" si="83">(E86-E85)/E85</f>
        <v>-3.9365713018407631E-3</v>
      </c>
      <c r="H86" s="7">
        <f t="shared" si="83"/>
        <v>-7.9069767441860464E-2</v>
      </c>
      <c r="I86" s="8">
        <f>IF(COUNTIF(Event_Rumor!$B$2:$B$9,A86)&gt;0,1,0)</f>
        <v>0</v>
      </c>
      <c r="J86" s="8" t="str">
        <f t="array" ref="J8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6" s="8" t="str">
        <f t="array" ref="K86">IF(I86=1,"Event",IF(J86="-","Normal",IF(INDEX(Event_Rumor!$G$2:$G$9,MATCH(J86,Event_Rumor!$A$2:$A$9,0))&gt;ROW(),"Pre","Post")))</f>
        <v>Normal</v>
      </c>
      <c r="L86" s="11" t="str">
        <f t="array" ref="L86">IF(J86="-","-",INDEX(Event_Rumor!$E$2:$E$9,MATCH(J86,Event_Rumor!$A$2:$A$9,0)))</f>
        <v>-</v>
      </c>
    </row>
    <row r="87" spans="1:12" ht="15" customHeight="1" x14ac:dyDescent="0.3">
      <c r="A87" s="26">
        <v>45433</v>
      </c>
      <c r="B87" s="6">
        <v>17798</v>
      </c>
      <c r="C87" s="6">
        <v>17893</v>
      </c>
      <c r="D87" s="6">
        <v>17798</v>
      </c>
      <c r="E87" s="6">
        <v>17822</v>
      </c>
      <c r="F87" s="6">
        <v>67800</v>
      </c>
      <c r="G87" s="7">
        <f t="shared" ref="G87:H87" si="84">(E87-E86)/E86</f>
        <v>-7.9599220706930134E-3</v>
      </c>
      <c r="H87" s="7">
        <f t="shared" si="84"/>
        <v>0.14141414141414141</v>
      </c>
      <c r="I87" s="8">
        <f>IF(COUNTIF(Event_Rumor!$B$2:$B$9,A87)&gt;0,1,0)</f>
        <v>0</v>
      </c>
      <c r="J87" s="8" t="str">
        <f t="array" ref="J8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7" s="8" t="str">
        <f t="array" ref="K87">IF(I87=1,"Event",IF(J87="-","Normal",IF(INDEX(Event_Rumor!$G$2:$G$9,MATCH(J87,Event_Rumor!$A$2:$A$9,0))&gt;ROW(),"Pre","Post")))</f>
        <v>Normal</v>
      </c>
      <c r="L87" s="11" t="str">
        <f t="array" ref="L87">IF(J87="-","-",INDEX(Event_Rumor!$E$2:$E$9,MATCH(J87,Event_Rumor!$A$2:$A$9,0)))</f>
        <v>-</v>
      </c>
    </row>
    <row r="88" spans="1:12" ht="15" customHeight="1" x14ac:dyDescent="0.3">
      <c r="A88" s="26">
        <v>45434</v>
      </c>
      <c r="B88" s="6">
        <v>17822</v>
      </c>
      <c r="C88" s="6">
        <v>17822</v>
      </c>
      <c r="D88" s="6">
        <v>17703</v>
      </c>
      <c r="E88" s="6">
        <v>17750</v>
      </c>
      <c r="F88" s="6">
        <v>63700</v>
      </c>
      <c r="G88" s="7">
        <f t="shared" ref="G88:H88" si="85">(E88-E87)/E87</f>
        <v>-4.0399506228257212E-3</v>
      </c>
      <c r="H88" s="7">
        <f t="shared" si="85"/>
        <v>-6.047197640117994E-2</v>
      </c>
      <c r="I88" s="8">
        <f>IF(COUNTIF(Event_Rumor!$B$2:$B$9,A88)&gt;0,1,0)</f>
        <v>0</v>
      </c>
      <c r="J88" s="8" t="str">
        <f t="array" ref="J8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8" s="8" t="str">
        <f t="array" ref="K88">IF(I88=1,"Event",IF(J88="-","Normal",IF(INDEX(Event_Rumor!$G$2:$G$9,MATCH(J88,Event_Rumor!$A$2:$A$9,0))&gt;ROW(),"Pre","Post")))</f>
        <v>Normal</v>
      </c>
      <c r="L88" s="11" t="str">
        <f t="array" ref="L88">IF(J88="-","-",INDEX(Event_Rumor!$E$2:$E$9,MATCH(J88,Event_Rumor!$A$2:$A$9,0)))</f>
        <v>-</v>
      </c>
    </row>
    <row r="89" spans="1:12" ht="15" customHeight="1" x14ac:dyDescent="0.3">
      <c r="A89" s="26">
        <v>45439</v>
      </c>
      <c r="B89" s="6">
        <v>17774</v>
      </c>
      <c r="C89" s="6">
        <v>17774</v>
      </c>
      <c r="D89" s="6">
        <v>17608</v>
      </c>
      <c r="E89" s="6">
        <v>17727</v>
      </c>
      <c r="F89" s="6">
        <v>59100</v>
      </c>
      <c r="G89" s="7">
        <f t="shared" ref="G89:H89" si="86">(E89-E88)/E88</f>
        <v>-1.2957746478873238E-3</v>
      </c>
      <c r="H89" s="7">
        <f t="shared" si="86"/>
        <v>-7.2213500784929358E-2</v>
      </c>
      <c r="I89" s="8">
        <f>IF(COUNTIF(Event_Rumor!$B$2:$B$9,A89)&gt;0,1,0)</f>
        <v>0</v>
      </c>
      <c r="J89" s="8" t="str">
        <f t="array" ref="J8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89" s="8" t="str">
        <f t="array" ref="K89">IF(I89=1,"Event",IF(J89="-","Normal",IF(INDEX(Event_Rumor!$G$2:$G$9,MATCH(J89,Event_Rumor!$A$2:$A$9,0))&gt;ROW(),"Pre","Post")))</f>
        <v>Normal</v>
      </c>
      <c r="L89" s="11" t="str">
        <f t="array" ref="L89">IF(J89="-","-",INDEX(Event_Rumor!$E$2:$E$9,MATCH(J89,Event_Rumor!$A$2:$A$9,0)))</f>
        <v>-</v>
      </c>
    </row>
    <row r="90" spans="1:12" ht="15" customHeight="1" x14ac:dyDescent="0.3">
      <c r="A90" s="26">
        <v>45440</v>
      </c>
      <c r="B90" s="6">
        <v>17417</v>
      </c>
      <c r="C90" s="6">
        <v>17703</v>
      </c>
      <c r="D90" s="6">
        <v>17417</v>
      </c>
      <c r="E90" s="6">
        <v>17703</v>
      </c>
      <c r="F90" s="6">
        <v>23900</v>
      </c>
      <c r="G90" s="7">
        <f t="shared" ref="G90:H90" si="87">(E90-E89)/E89</f>
        <v>-1.3538669825689626E-3</v>
      </c>
      <c r="H90" s="7">
        <f t="shared" si="87"/>
        <v>-0.5956006768189509</v>
      </c>
      <c r="I90" s="8">
        <f>IF(COUNTIF(Event_Rumor!$B$2:$B$9,A90)&gt;0,1,0)</f>
        <v>0</v>
      </c>
      <c r="J90" s="8" t="str">
        <f t="array" ref="J9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0" s="8" t="str">
        <f t="array" ref="K90">IF(I90=1,"Event",IF(J90="-","Normal",IF(INDEX(Event_Rumor!$G$2:$G$9,MATCH(J90,Event_Rumor!$A$2:$A$9,0))&gt;ROW(),"Pre","Post")))</f>
        <v>Normal</v>
      </c>
      <c r="L90" s="11" t="str">
        <f t="array" ref="L90">IF(J90="-","-",INDEX(Event_Rumor!$E$2:$E$9,MATCH(J90,Event_Rumor!$A$2:$A$9,0)))</f>
        <v>-</v>
      </c>
    </row>
    <row r="91" spans="1:12" ht="15" customHeight="1" x14ac:dyDescent="0.3">
      <c r="A91" s="26">
        <v>45441</v>
      </c>
      <c r="B91" s="6">
        <v>17703</v>
      </c>
      <c r="C91" s="6">
        <v>17727</v>
      </c>
      <c r="D91" s="6">
        <v>17441</v>
      </c>
      <c r="E91" s="6">
        <v>17465</v>
      </c>
      <c r="F91" s="6">
        <v>29600</v>
      </c>
      <c r="G91" s="7">
        <f t="shared" ref="G91:H91" si="88">(E91-E90)/E90</f>
        <v>-1.3444049031237644E-2</v>
      </c>
      <c r="H91" s="7">
        <f t="shared" si="88"/>
        <v>0.2384937238493724</v>
      </c>
      <c r="I91" s="8">
        <f>IF(COUNTIF(Event_Rumor!$B$2:$B$9,A91)&gt;0,1,0)</f>
        <v>0</v>
      </c>
      <c r="J91" s="8" t="str">
        <f t="array" ref="J9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1" s="8" t="str">
        <f t="array" ref="K91">IF(I91=1,"Event",IF(J91="-","Normal",IF(INDEX(Event_Rumor!$G$2:$G$9,MATCH(J91,Event_Rumor!$A$2:$A$9,0))&gt;ROW(),"Pre","Post")))</f>
        <v>Normal</v>
      </c>
      <c r="L91" s="11" t="str">
        <f t="array" ref="L91">IF(J91="-","-",INDEX(Event_Rumor!$E$2:$E$9,MATCH(J91,Event_Rumor!$A$2:$A$9,0)))</f>
        <v>-</v>
      </c>
    </row>
    <row r="92" spans="1:12" ht="15" customHeight="1" x14ac:dyDescent="0.3">
      <c r="A92" s="26">
        <v>45442</v>
      </c>
      <c r="B92" s="6">
        <v>17465</v>
      </c>
      <c r="C92" s="6">
        <v>17703</v>
      </c>
      <c r="D92" s="6">
        <v>16632</v>
      </c>
      <c r="E92" s="6">
        <v>17322</v>
      </c>
      <c r="F92" s="6">
        <v>225000</v>
      </c>
      <c r="G92" s="7">
        <f t="shared" ref="G92:H92" si="89">(E92-E91)/E91</f>
        <v>-8.1878041797881478E-3</v>
      </c>
      <c r="H92" s="7">
        <f t="shared" si="89"/>
        <v>6.6013513513513518</v>
      </c>
      <c r="I92" s="8">
        <f>IF(COUNTIF(Event_Rumor!$B$2:$B$9,A92)&gt;0,1,0)</f>
        <v>0</v>
      </c>
      <c r="J92" s="8" t="str">
        <f t="array" ref="J9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2" s="8" t="str">
        <f t="array" ref="K92">IF(I92=1,"Event",IF(J92="-","Normal",IF(INDEX(Event_Rumor!$G$2:$G$9,MATCH(J92,Event_Rumor!$A$2:$A$9,0))&gt;ROW(),"Pre","Post")))</f>
        <v>Normal</v>
      </c>
      <c r="L92" s="11" t="str">
        <f t="array" ref="L92">IF(J92="-","-",INDEX(Event_Rumor!$E$2:$E$9,MATCH(J92,Event_Rumor!$A$2:$A$9,0)))</f>
        <v>-</v>
      </c>
    </row>
    <row r="93" spans="1:12" ht="15" customHeight="1" x14ac:dyDescent="0.3">
      <c r="A93" s="26">
        <v>45443</v>
      </c>
      <c r="B93" s="6">
        <v>17322</v>
      </c>
      <c r="C93" s="6">
        <v>17322</v>
      </c>
      <c r="D93" s="6">
        <v>16561</v>
      </c>
      <c r="E93" s="6">
        <v>17108</v>
      </c>
      <c r="F93" s="6">
        <v>186500</v>
      </c>
      <c r="G93" s="7">
        <f t="shared" ref="G93:H93" si="90">(E93-E92)/E92</f>
        <v>-1.2354231612977716E-2</v>
      </c>
      <c r="H93" s="7">
        <f t="shared" si="90"/>
        <v>-0.1711111111111111</v>
      </c>
      <c r="I93" s="8">
        <f>IF(COUNTIF(Event_Rumor!$B$2:$B$9,A93)&gt;0,1,0)</f>
        <v>0</v>
      </c>
      <c r="J93" s="8" t="str">
        <f t="array" ref="J9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3" s="8" t="str">
        <f t="array" ref="K93">IF(I93=1,"Event",IF(J93="-","Normal",IF(INDEX(Event_Rumor!$G$2:$G$9,MATCH(J93,Event_Rumor!$A$2:$A$9,0))&gt;ROW(),"Pre","Post")))</f>
        <v>Normal</v>
      </c>
      <c r="L93" s="11" t="str">
        <f t="array" ref="L93">IF(J93="-","-",INDEX(Event_Rumor!$E$2:$E$9,MATCH(J93,Event_Rumor!$A$2:$A$9,0)))</f>
        <v>-</v>
      </c>
    </row>
    <row r="94" spans="1:12" ht="15" customHeight="1" x14ac:dyDescent="0.3">
      <c r="A94" s="26">
        <v>45446</v>
      </c>
      <c r="B94" s="6">
        <v>17132</v>
      </c>
      <c r="C94" s="6">
        <v>17322</v>
      </c>
      <c r="D94" s="6">
        <v>16822</v>
      </c>
      <c r="E94" s="6">
        <v>17132</v>
      </c>
      <c r="F94" s="6">
        <v>176000</v>
      </c>
      <c r="G94" s="7">
        <f t="shared" ref="G94:H94" si="91">(E94-E93)/E93</f>
        <v>1.4028524666822538E-3</v>
      </c>
      <c r="H94" s="7">
        <f t="shared" si="91"/>
        <v>-5.6300268096514748E-2</v>
      </c>
      <c r="I94" s="8">
        <f>IF(COUNTIF(Event_Rumor!$B$2:$B$9,A94)&gt;0,1,0)</f>
        <v>0</v>
      </c>
      <c r="J94" s="8" t="str">
        <f t="array" ref="J9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4" s="8" t="str">
        <f t="array" ref="K94">IF(I94=1,"Event",IF(J94="-","Normal",IF(INDEX(Event_Rumor!$G$2:$G$9,MATCH(J94,Event_Rumor!$A$2:$A$9,0))&gt;ROW(),"Pre","Post")))</f>
        <v>Normal</v>
      </c>
      <c r="L94" s="11" t="str">
        <f t="array" ref="L94">IF(J94="-","-",INDEX(Event_Rumor!$E$2:$E$9,MATCH(J94,Event_Rumor!$A$2:$A$9,0)))</f>
        <v>-</v>
      </c>
    </row>
    <row r="95" spans="1:12" ht="15" customHeight="1" x14ac:dyDescent="0.3">
      <c r="A95" s="26">
        <v>45447</v>
      </c>
      <c r="B95" s="6">
        <v>17084</v>
      </c>
      <c r="C95" s="6">
        <v>17203</v>
      </c>
      <c r="D95" s="6">
        <v>16941</v>
      </c>
      <c r="E95" s="6">
        <v>16989</v>
      </c>
      <c r="F95" s="6">
        <v>186400</v>
      </c>
      <c r="G95" s="7">
        <f t="shared" ref="G95:H95" si="92">(E95-E94)/E94</f>
        <v>-8.3469530702778433E-3</v>
      </c>
      <c r="H95" s="7">
        <f t="shared" si="92"/>
        <v>5.909090909090909E-2</v>
      </c>
      <c r="I95" s="8">
        <f>IF(COUNTIF(Event_Rumor!$B$2:$B$9,A95)&gt;0,1,0)</f>
        <v>0</v>
      </c>
      <c r="J95" s="8" t="str">
        <f t="array" ref="J9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5" s="8" t="str">
        <f t="array" ref="K95">IF(I95=1,"Event",IF(J95="-","Normal",IF(INDEX(Event_Rumor!$G$2:$G$9,MATCH(J95,Event_Rumor!$A$2:$A$9,0))&gt;ROW(),"Pre","Post")))</f>
        <v>Normal</v>
      </c>
      <c r="L95" s="11" t="str">
        <f t="array" ref="L95">IF(J95="-","-",INDEX(Event_Rumor!$E$2:$E$9,MATCH(J95,Event_Rumor!$A$2:$A$9,0)))</f>
        <v>-</v>
      </c>
    </row>
    <row r="96" spans="1:12" ht="15" customHeight="1" x14ac:dyDescent="0.3">
      <c r="A96" s="26">
        <v>45448</v>
      </c>
      <c r="B96" s="6">
        <v>17108</v>
      </c>
      <c r="C96" s="6">
        <v>17132</v>
      </c>
      <c r="D96" s="6">
        <v>16822</v>
      </c>
      <c r="E96" s="6">
        <v>17013</v>
      </c>
      <c r="F96" s="6">
        <v>104900</v>
      </c>
      <c r="G96" s="7">
        <f t="shared" ref="G96:H96" si="93">(E96-E95)/E95</f>
        <v>1.4126787921596327E-3</v>
      </c>
      <c r="H96" s="7">
        <f t="shared" si="93"/>
        <v>-0.43723175965665234</v>
      </c>
      <c r="I96" s="8">
        <f>IF(COUNTIF(Event_Rumor!$B$2:$B$9,A96)&gt;0,1,0)</f>
        <v>0</v>
      </c>
      <c r="J96" s="8" t="str">
        <f t="array" ref="J9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6" s="8" t="str">
        <f t="array" ref="K96">IF(I96=1,"Event",IF(J96="-","Normal",IF(INDEX(Event_Rumor!$G$2:$G$9,MATCH(J96,Event_Rumor!$A$2:$A$9,0))&gt;ROW(),"Pre","Post")))</f>
        <v>Normal</v>
      </c>
      <c r="L96" s="11" t="str">
        <f t="array" ref="L96">IF(J96="-","-",INDEX(Event_Rumor!$E$2:$E$9,MATCH(J96,Event_Rumor!$A$2:$A$9,0)))</f>
        <v>-</v>
      </c>
    </row>
    <row r="97" spans="1:12" ht="15" customHeight="1" x14ac:dyDescent="0.3">
      <c r="A97" s="26">
        <v>45449</v>
      </c>
      <c r="B97" s="6">
        <v>17013</v>
      </c>
      <c r="C97" s="6">
        <v>17084</v>
      </c>
      <c r="D97" s="6">
        <v>16703</v>
      </c>
      <c r="E97" s="6">
        <v>16941</v>
      </c>
      <c r="F97" s="6">
        <v>124800</v>
      </c>
      <c r="G97" s="7">
        <f t="shared" ref="G97:H97" si="94">(E97-E96)/E96</f>
        <v>-4.2320578381237874E-3</v>
      </c>
      <c r="H97" s="7">
        <f t="shared" si="94"/>
        <v>0.18970448045757865</v>
      </c>
      <c r="I97" s="8">
        <f>IF(COUNTIF(Event_Rumor!$B$2:$B$9,A97)&gt;0,1,0)</f>
        <v>0</v>
      </c>
      <c r="J97" s="8" t="str">
        <f t="array" ref="J9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7" s="8" t="str">
        <f t="array" ref="K97">IF(I97=1,"Event",IF(J97="-","Normal",IF(INDEX(Event_Rumor!$G$2:$G$9,MATCH(J97,Event_Rumor!$A$2:$A$9,0))&gt;ROW(),"Pre","Post")))</f>
        <v>Normal</v>
      </c>
      <c r="L97" s="11" t="str">
        <f t="array" ref="L97">IF(J97="-","-",INDEX(Event_Rumor!$E$2:$E$9,MATCH(J97,Event_Rumor!$A$2:$A$9,0)))</f>
        <v>-</v>
      </c>
    </row>
    <row r="98" spans="1:12" ht="15" customHeight="1" x14ac:dyDescent="0.3">
      <c r="A98" s="26">
        <v>45450</v>
      </c>
      <c r="B98" s="6">
        <v>16941</v>
      </c>
      <c r="C98" s="6">
        <v>17227</v>
      </c>
      <c r="D98" s="6">
        <v>16846</v>
      </c>
      <c r="E98" s="6">
        <v>16941</v>
      </c>
      <c r="F98" s="6">
        <v>90100</v>
      </c>
      <c r="G98" s="7">
        <f t="shared" ref="G98:H98" si="95">(E98-E97)/E97</f>
        <v>0</v>
      </c>
      <c r="H98" s="7">
        <f t="shared" si="95"/>
        <v>-0.27804487179487181</v>
      </c>
      <c r="I98" s="8">
        <f>IF(COUNTIF(Event_Rumor!$B$2:$B$9,A98)&gt;0,1,0)</f>
        <v>0</v>
      </c>
      <c r="J98" s="8" t="str">
        <f t="array" ref="J9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8" s="8" t="str">
        <f t="array" ref="K98">IF(I98=1,"Event",IF(J98="-","Normal",IF(INDEX(Event_Rumor!$G$2:$G$9,MATCH(J98,Event_Rumor!$A$2:$A$9,0))&gt;ROW(),"Pre","Post")))</f>
        <v>Normal</v>
      </c>
      <c r="L98" s="11" t="str">
        <f t="array" ref="L98">IF(J98="-","-",INDEX(Event_Rumor!$E$2:$E$9,MATCH(J98,Event_Rumor!$A$2:$A$9,0)))</f>
        <v>-</v>
      </c>
    </row>
    <row r="99" spans="1:12" ht="15" customHeight="1" x14ac:dyDescent="0.3">
      <c r="A99" s="26">
        <v>45453</v>
      </c>
      <c r="B99" s="6">
        <v>16894</v>
      </c>
      <c r="C99" s="6">
        <v>16941</v>
      </c>
      <c r="D99" s="6">
        <v>16680</v>
      </c>
      <c r="E99" s="6">
        <v>16918</v>
      </c>
      <c r="F99" s="6">
        <v>99300</v>
      </c>
      <c r="G99" s="7">
        <f t="shared" ref="G99:H99" si="96">(E99-E98)/E98</f>
        <v>-1.3576530311079629E-3</v>
      </c>
      <c r="H99" s="7">
        <f t="shared" si="96"/>
        <v>0.10210876803551609</v>
      </c>
      <c r="I99" s="8">
        <f>IF(COUNTIF(Event_Rumor!$B$2:$B$9,A99)&gt;0,1,0)</f>
        <v>0</v>
      </c>
      <c r="J99" s="8" t="str">
        <f t="array" ref="J9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99" s="8" t="str">
        <f t="array" ref="K99">IF(I99=1,"Event",IF(J99="-","Normal",IF(INDEX(Event_Rumor!$G$2:$G$9,MATCH(J99,Event_Rumor!$A$2:$A$9,0))&gt;ROW(),"Pre","Post")))</f>
        <v>Normal</v>
      </c>
      <c r="L99" s="11" t="str">
        <f t="array" ref="L99">IF(J99="-","-",INDEX(Event_Rumor!$E$2:$E$9,MATCH(J99,Event_Rumor!$A$2:$A$9,0)))</f>
        <v>-</v>
      </c>
    </row>
    <row r="100" spans="1:12" ht="15" customHeight="1" x14ac:dyDescent="0.3">
      <c r="A100" s="26">
        <v>45454</v>
      </c>
      <c r="B100" s="6">
        <v>16751</v>
      </c>
      <c r="C100" s="6">
        <v>17108</v>
      </c>
      <c r="D100" s="6">
        <v>16703</v>
      </c>
      <c r="E100" s="6">
        <v>16846</v>
      </c>
      <c r="F100" s="6">
        <v>110600</v>
      </c>
      <c r="G100" s="7">
        <f t="shared" ref="G100:H100" si="97">(E100-E99)/E99</f>
        <v>-4.2558222012058161E-3</v>
      </c>
      <c r="H100" s="7">
        <f t="shared" si="97"/>
        <v>0.11379657603222558</v>
      </c>
      <c r="I100" s="8">
        <f>IF(COUNTIF(Event_Rumor!$B$2:$B$9,A100)&gt;0,1,0)</f>
        <v>0</v>
      </c>
      <c r="J100" s="8" t="str">
        <f t="array" ref="J10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00" s="8" t="str">
        <f t="array" ref="K100">IF(I100=1,"Event",IF(J100="-","Normal",IF(INDEX(Event_Rumor!$G$2:$G$9,MATCH(J100,Event_Rumor!$A$2:$A$9,0))&gt;ROW(),"Pre","Post")))</f>
        <v>Normal</v>
      </c>
      <c r="L100" s="11" t="str">
        <f t="array" ref="L100">IF(J100="-","-",INDEX(Event_Rumor!$E$2:$E$9,MATCH(J100,Event_Rumor!$A$2:$A$9,0)))</f>
        <v>-</v>
      </c>
    </row>
    <row r="101" spans="1:12" ht="15" customHeight="1" x14ac:dyDescent="0.3">
      <c r="A101" s="26">
        <v>45455</v>
      </c>
      <c r="B101" s="6">
        <v>16561</v>
      </c>
      <c r="C101" s="6">
        <v>16989</v>
      </c>
      <c r="D101" s="6">
        <v>16275</v>
      </c>
      <c r="E101" s="6">
        <v>16632</v>
      </c>
      <c r="F101" s="6">
        <v>188800</v>
      </c>
      <c r="G101" s="7">
        <f t="shared" ref="G101:H101" si="98">(E101-E100)/E100</f>
        <v>-1.2703312359016977E-2</v>
      </c>
      <c r="H101" s="7">
        <f t="shared" si="98"/>
        <v>0.70705244122965638</v>
      </c>
      <c r="I101" s="8">
        <f>IF(COUNTIF(Event_Rumor!$B$2:$B$9,A101)&gt;0,1,0)</f>
        <v>0</v>
      </c>
      <c r="J101" s="8" t="str">
        <f t="array" ref="J10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01" s="8" t="str">
        <f t="array" ref="K101">IF(I101=1,"Event",IF(J101="-","Normal",IF(INDEX(Event_Rumor!$G$2:$G$9,MATCH(J101,Event_Rumor!$A$2:$A$9,0))&gt;ROW(),"Pre","Post")))</f>
        <v>Normal</v>
      </c>
      <c r="L101" s="11" t="str">
        <f t="array" ref="L101">IF(J101="-","-",INDEX(Event_Rumor!$E$2:$E$9,MATCH(J101,Event_Rumor!$A$2:$A$9,0)))</f>
        <v>-</v>
      </c>
    </row>
    <row r="102" spans="1:12" ht="15" customHeight="1" x14ac:dyDescent="0.3">
      <c r="A102" s="26">
        <v>45456</v>
      </c>
      <c r="B102" s="6">
        <v>16632</v>
      </c>
      <c r="C102" s="6">
        <v>16632</v>
      </c>
      <c r="D102" s="6">
        <v>16394</v>
      </c>
      <c r="E102" s="6">
        <v>16465</v>
      </c>
      <c r="F102" s="6">
        <v>77700</v>
      </c>
      <c r="G102" s="7">
        <f t="shared" ref="G102:H102" si="99">(E102-E101)/E101</f>
        <v>-1.0040885040885041E-2</v>
      </c>
      <c r="H102" s="7">
        <f t="shared" si="99"/>
        <v>-0.58845338983050843</v>
      </c>
      <c r="I102" s="8">
        <f>IF(COUNTIF(Event_Rumor!$B$2:$B$9,A102)&gt;0,1,0)</f>
        <v>0</v>
      </c>
      <c r="J102" s="8" t="str">
        <f t="array" ref="J10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02" s="8" t="str">
        <f t="array" ref="K102">IF(I102=1,"Event",IF(J102="-","Normal",IF(INDEX(Event_Rumor!$G$2:$G$9,MATCH(J102,Event_Rumor!$A$2:$A$9,0))&gt;ROW(),"Pre","Post")))</f>
        <v>Normal</v>
      </c>
      <c r="L102" s="11" t="str">
        <f t="array" ref="L102">IF(J102="-","-",INDEX(Event_Rumor!$E$2:$E$9,MATCH(J102,Event_Rumor!$A$2:$A$9,0)))</f>
        <v>-</v>
      </c>
    </row>
    <row r="103" spans="1:12" ht="15" customHeight="1" x14ac:dyDescent="0.3">
      <c r="A103" s="26">
        <v>45457</v>
      </c>
      <c r="B103" s="6">
        <v>16489</v>
      </c>
      <c r="C103" s="6">
        <v>16561</v>
      </c>
      <c r="D103" s="6">
        <v>16370</v>
      </c>
      <c r="E103" s="6">
        <v>16442</v>
      </c>
      <c r="F103" s="6">
        <v>75900</v>
      </c>
      <c r="G103" s="7">
        <f t="shared" ref="G103:H103" si="100">(E103-E102)/E102</f>
        <v>-1.3969025204980262E-3</v>
      </c>
      <c r="H103" s="7">
        <f t="shared" si="100"/>
        <v>-2.3166023166023165E-2</v>
      </c>
      <c r="I103" s="8">
        <f>IF(COUNTIF(Event_Rumor!$B$2:$B$9,A103)&gt;0,1,0)</f>
        <v>0</v>
      </c>
      <c r="J103" s="8" t="str">
        <f t="array" ref="J10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03" s="8" t="str">
        <f t="array" ref="K103">IF(I103=1,"Event",IF(J103="-","Normal",IF(INDEX(Event_Rumor!$G$2:$G$9,MATCH(J103,Event_Rumor!$A$2:$A$9,0))&gt;ROW(),"Pre","Post")))</f>
        <v>Normal</v>
      </c>
      <c r="L103" s="11" t="str">
        <f t="array" ref="L103">IF(J103="-","-",INDEX(Event_Rumor!$E$2:$E$9,MATCH(J103,Event_Rumor!$A$2:$A$9,0)))</f>
        <v>-</v>
      </c>
    </row>
    <row r="104" spans="1:12" ht="15" customHeight="1" x14ac:dyDescent="0.3">
      <c r="A104" s="26">
        <v>45462</v>
      </c>
      <c r="B104" s="6">
        <v>16442</v>
      </c>
      <c r="C104" s="6">
        <v>16751</v>
      </c>
      <c r="D104" s="6">
        <v>16418</v>
      </c>
      <c r="E104" s="6">
        <v>16561</v>
      </c>
      <c r="F104" s="6">
        <v>26900</v>
      </c>
      <c r="G104" s="7">
        <f t="shared" ref="G104:H104" si="101">(E104-E103)/E103</f>
        <v>7.23756234034789E-3</v>
      </c>
      <c r="H104" s="7">
        <f t="shared" si="101"/>
        <v>-0.64558629776021081</v>
      </c>
      <c r="I104" s="8">
        <f>IF(COUNTIF(Event_Rumor!$B$2:$B$9,A104)&gt;0,1,0)</f>
        <v>0</v>
      </c>
      <c r="J104" s="8" t="str">
        <f t="array" ref="J10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04" s="8" t="str">
        <f t="array" ref="K104">IF(I104=1,"Event",IF(J104="-","Normal",IF(INDEX(Event_Rumor!$G$2:$G$9,MATCH(J104,Event_Rumor!$A$2:$A$9,0))&gt;ROW(),"Pre","Post")))</f>
        <v>Pre</v>
      </c>
      <c r="L104" s="11">
        <f t="array" ref="L104">IF(J104="-","-",INDEX(Event_Rumor!$E$2:$E$9,MATCH(J104,Event_Rumor!$A$2:$A$9,0)))</f>
        <v>0</v>
      </c>
    </row>
    <row r="105" spans="1:12" ht="15" customHeight="1" x14ac:dyDescent="0.3">
      <c r="A105" s="26">
        <v>45463</v>
      </c>
      <c r="B105" s="6">
        <v>16346</v>
      </c>
      <c r="C105" s="6">
        <v>16941</v>
      </c>
      <c r="D105" s="6">
        <v>16132</v>
      </c>
      <c r="E105" s="6">
        <v>16941</v>
      </c>
      <c r="F105" s="6">
        <v>75200</v>
      </c>
      <c r="G105" s="7">
        <f t="shared" ref="G105:H105" si="102">(E105-E104)/E104</f>
        <v>2.2945474307107059E-2</v>
      </c>
      <c r="H105" s="7">
        <f t="shared" si="102"/>
        <v>1.795539033457249</v>
      </c>
      <c r="I105" s="8">
        <f>IF(COUNTIF(Event_Rumor!$B$2:$B$9,A105)&gt;0,1,0)</f>
        <v>0</v>
      </c>
      <c r="J105" s="8" t="str">
        <f t="array" ref="J10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05" s="8" t="str">
        <f t="array" ref="K105">IF(I105=1,"Event",IF(J105="-","Normal",IF(INDEX(Event_Rumor!$G$2:$G$9,MATCH(J105,Event_Rumor!$A$2:$A$9,0))&gt;ROW(),"Pre","Post")))</f>
        <v>Pre</v>
      </c>
      <c r="L105" s="11">
        <f t="array" ref="L105">IF(J105="-","-",INDEX(Event_Rumor!$E$2:$E$9,MATCH(J105,Event_Rumor!$A$2:$A$9,0)))</f>
        <v>0</v>
      </c>
    </row>
    <row r="106" spans="1:12" ht="15" customHeight="1" x14ac:dyDescent="0.3">
      <c r="A106" s="26">
        <v>45464</v>
      </c>
      <c r="B106" s="6">
        <v>16941</v>
      </c>
      <c r="C106" s="6">
        <v>16941</v>
      </c>
      <c r="D106" s="6">
        <v>14443</v>
      </c>
      <c r="E106" s="6">
        <v>14443</v>
      </c>
      <c r="F106" s="6">
        <v>3592900</v>
      </c>
      <c r="G106" s="7">
        <f t="shared" ref="G106:H106" si="103">(E106-E105)/E105</f>
        <v>-0.14745292485685615</v>
      </c>
      <c r="H106" s="7">
        <f t="shared" si="103"/>
        <v>46.777925531914896</v>
      </c>
      <c r="I106" s="8">
        <f>IF(COUNTIF(Event_Rumor!$B$2:$B$9,A106)&gt;0,1,0)</f>
        <v>0</v>
      </c>
      <c r="J106" s="8" t="str">
        <f t="array" ref="J10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06" s="8" t="str">
        <f t="array" ref="K106">IF(I106=1,"Event",IF(J106="-","Normal",IF(INDEX(Event_Rumor!$G$2:$G$9,MATCH(J106,Event_Rumor!$A$2:$A$9,0))&gt;ROW(),"Pre","Post")))</f>
        <v>Pre</v>
      </c>
      <c r="L106" s="11">
        <f t="array" ref="L106">IF(J106="-","-",INDEX(Event_Rumor!$E$2:$E$9,MATCH(J106,Event_Rumor!$A$2:$A$9,0)))</f>
        <v>0</v>
      </c>
    </row>
    <row r="107" spans="1:12" ht="15" customHeight="1" x14ac:dyDescent="0.3">
      <c r="A107" s="26">
        <v>45467</v>
      </c>
      <c r="B107" s="6">
        <v>14514</v>
      </c>
      <c r="C107" s="6">
        <v>14847</v>
      </c>
      <c r="D107" s="6">
        <v>14229</v>
      </c>
      <c r="E107" s="6">
        <v>14443</v>
      </c>
      <c r="F107" s="6">
        <v>567500</v>
      </c>
      <c r="G107" s="7">
        <f t="shared" ref="G107:H107" si="104">(E107-E106)/E106</f>
        <v>0</v>
      </c>
      <c r="H107" s="7">
        <f t="shared" si="104"/>
        <v>-0.84204959781791866</v>
      </c>
      <c r="I107" s="8">
        <f>IF(COUNTIF(Event_Rumor!$B$2:$B$9,A107)&gt;0,1,0)</f>
        <v>0</v>
      </c>
      <c r="J107" s="8" t="str">
        <f t="array" ref="J10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07" s="8" t="str">
        <f t="array" ref="K107">IF(I107=1,"Event",IF(J107="-","Normal",IF(INDEX(Event_Rumor!$G$2:$G$9,MATCH(J107,Event_Rumor!$A$2:$A$9,0))&gt;ROW(),"Pre","Post")))</f>
        <v>Pre</v>
      </c>
      <c r="L107" s="11">
        <f t="array" ref="L107">IF(J107="-","-",INDEX(Event_Rumor!$E$2:$E$9,MATCH(J107,Event_Rumor!$A$2:$A$9,0)))</f>
        <v>0</v>
      </c>
    </row>
    <row r="108" spans="1:12" ht="15" customHeight="1" x14ac:dyDescent="0.3">
      <c r="A108" s="26">
        <v>45468</v>
      </c>
      <c r="B108" s="6">
        <v>14467</v>
      </c>
      <c r="C108" s="6">
        <v>14586</v>
      </c>
      <c r="D108" s="6">
        <v>14443</v>
      </c>
      <c r="E108" s="6">
        <v>14443</v>
      </c>
      <c r="F108" s="6">
        <v>240300</v>
      </c>
      <c r="G108" s="7">
        <f t="shared" ref="G108:H108" si="105">(E108-E107)/E107</f>
        <v>0</v>
      </c>
      <c r="H108" s="7">
        <f t="shared" si="105"/>
        <v>-0.57656387665198239</v>
      </c>
      <c r="I108" s="8">
        <f>IF(COUNTIF(Event_Rumor!$B$2:$B$9,A108)&gt;0,1,0)</f>
        <v>0</v>
      </c>
      <c r="J108" s="8" t="str">
        <f t="array" ref="J10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08" s="8" t="str">
        <f t="array" ref="K108">IF(I108=1,"Event",IF(J108="-","Normal",IF(INDEX(Event_Rumor!$G$2:$G$9,MATCH(J108,Event_Rumor!$A$2:$A$9,0))&gt;ROW(),"Pre","Post")))</f>
        <v>Pre</v>
      </c>
      <c r="L108" s="11">
        <f t="array" ref="L108">IF(J108="-","-",INDEX(Event_Rumor!$E$2:$E$9,MATCH(J108,Event_Rumor!$A$2:$A$9,0)))</f>
        <v>0</v>
      </c>
    </row>
    <row r="109" spans="1:12" ht="15" customHeight="1" x14ac:dyDescent="0.3">
      <c r="A109" s="26">
        <v>45469</v>
      </c>
      <c r="B109" s="6">
        <v>14467</v>
      </c>
      <c r="C109" s="6">
        <v>14562</v>
      </c>
      <c r="D109" s="6">
        <v>14395</v>
      </c>
      <c r="E109" s="6">
        <v>14467</v>
      </c>
      <c r="F109" s="6">
        <v>157400</v>
      </c>
      <c r="G109" s="7">
        <f t="shared" ref="G109:H109" si="106">(E109-E108)/E108</f>
        <v>1.6617046320016617E-3</v>
      </c>
      <c r="H109" s="7">
        <f t="shared" si="106"/>
        <v>-0.34498543487307531</v>
      </c>
      <c r="I109" s="8">
        <f>IF(COUNTIF(Event_Rumor!$B$2:$B$9,A109)&gt;0,1,0)</f>
        <v>1</v>
      </c>
      <c r="J109" s="8" t="str">
        <f t="array" ref="J10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09" s="8" t="str">
        <f t="array" ref="K109">IF(I109=1,"Event",IF(J109="-","Normal",IF(INDEX(Event_Rumor!$G$2:$G$9,MATCH(J109,Event_Rumor!$A$2:$A$9,0))&gt;ROW(),"Pre","Post")))</f>
        <v>Event</v>
      </c>
      <c r="L109" s="11">
        <f t="array" ref="L109">IF(J109="-","-",INDEX(Event_Rumor!$E$2:$E$9,MATCH(J109,Event_Rumor!$A$2:$A$9,0)))</f>
        <v>0</v>
      </c>
    </row>
    <row r="110" spans="1:12" ht="15" customHeight="1" x14ac:dyDescent="0.3">
      <c r="A110" s="26">
        <v>45470</v>
      </c>
      <c r="B110" s="6">
        <v>14467</v>
      </c>
      <c r="C110" s="6">
        <v>14728</v>
      </c>
      <c r="D110" s="6">
        <v>14467</v>
      </c>
      <c r="E110" s="6">
        <v>14609</v>
      </c>
      <c r="F110" s="6">
        <v>195200</v>
      </c>
      <c r="G110" s="7">
        <f t="shared" ref="G110:H110" si="107">(E110-E109)/E109</f>
        <v>9.8154420405059794E-3</v>
      </c>
      <c r="H110" s="7">
        <f t="shared" si="107"/>
        <v>0.24015247776365947</v>
      </c>
      <c r="I110" s="8">
        <f>IF(COUNTIF(Event_Rumor!$B$2:$B$9,A110)&gt;0,1,0)</f>
        <v>0</v>
      </c>
      <c r="J110" s="8" t="str">
        <f t="array" ref="J1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10" s="8" t="str">
        <f t="array" ref="K110">IF(I110=1,"Event",IF(J110="-","Normal",IF(INDEX(Event_Rumor!$G$2:$G$9,MATCH(J110,Event_Rumor!$A$2:$A$9,0))&gt;ROW(),"Pre","Post")))</f>
        <v>Post</v>
      </c>
      <c r="L110" s="11">
        <f t="array" ref="L110">IF(J110="-","-",INDEX(Event_Rumor!$E$2:$E$9,MATCH(J110,Event_Rumor!$A$2:$A$9,0)))</f>
        <v>0</v>
      </c>
    </row>
    <row r="111" spans="1:12" ht="15" customHeight="1" x14ac:dyDescent="0.3">
      <c r="A111" s="26">
        <v>45471</v>
      </c>
      <c r="B111" s="6">
        <v>14705</v>
      </c>
      <c r="C111" s="6">
        <v>15181</v>
      </c>
      <c r="D111" s="6">
        <v>14538</v>
      </c>
      <c r="E111" s="6">
        <v>15014</v>
      </c>
      <c r="F111" s="6">
        <v>344600</v>
      </c>
      <c r="G111" s="7">
        <f t="shared" ref="G111:H111" si="108">(E111-E110)/E110</f>
        <v>2.7722636730782395E-2</v>
      </c>
      <c r="H111" s="7">
        <f t="shared" si="108"/>
        <v>0.76536885245901642</v>
      </c>
      <c r="I111" s="8">
        <f>IF(COUNTIF(Event_Rumor!$B$2:$B$9,A111)&gt;0,1,0)</f>
        <v>0</v>
      </c>
      <c r="J111" s="8" t="str">
        <f t="array" ref="J1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11" s="8" t="str">
        <f t="array" ref="K111">IF(I111=1,"Event",IF(J111="-","Normal",IF(INDEX(Event_Rumor!$G$2:$G$9,MATCH(J111,Event_Rumor!$A$2:$A$9,0))&gt;ROW(),"Pre","Post")))</f>
        <v>Post</v>
      </c>
      <c r="L111" s="11">
        <f t="array" ref="L111">IF(J111="-","-",INDEX(Event_Rumor!$E$2:$E$9,MATCH(J111,Event_Rumor!$A$2:$A$9,0)))</f>
        <v>0</v>
      </c>
    </row>
    <row r="112" spans="1:12" ht="15" customHeight="1" x14ac:dyDescent="0.3">
      <c r="A112" s="26">
        <v>45474</v>
      </c>
      <c r="B112" s="6">
        <v>15038</v>
      </c>
      <c r="C112" s="6">
        <v>15775</v>
      </c>
      <c r="D112" s="6">
        <v>15038</v>
      </c>
      <c r="E112" s="6">
        <v>15514</v>
      </c>
      <c r="F112" s="6">
        <v>436400</v>
      </c>
      <c r="G112" s="7">
        <f t="shared" ref="G112:H112" si="109">(E112-E111)/E111</f>
        <v>3.3302251232183298E-2</v>
      </c>
      <c r="H112" s="7">
        <f t="shared" si="109"/>
        <v>0.26639582124201971</v>
      </c>
      <c r="I112" s="8">
        <f>IF(COUNTIF(Event_Rumor!$B$2:$B$9,A112)&gt;0,1,0)</f>
        <v>0</v>
      </c>
      <c r="J112" s="8" t="str">
        <f t="array" ref="J1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12" s="8" t="str">
        <f t="array" ref="K112">IF(I112=1,"Event",IF(J112="-","Normal",IF(INDEX(Event_Rumor!$G$2:$G$9,MATCH(J112,Event_Rumor!$A$2:$A$9,0))&gt;ROW(),"Pre","Post")))</f>
        <v>Post</v>
      </c>
      <c r="L112" s="11">
        <f t="array" ref="L112">IF(J112="-","-",INDEX(Event_Rumor!$E$2:$E$9,MATCH(J112,Event_Rumor!$A$2:$A$9,0)))</f>
        <v>0</v>
      </c>
    </row>
    <row r="113" spans="1:12" ht="15" customHeight="1" x14ac:dyDescent="0.3">
      <c r="A113" s="26">
        <v>45475</v>
      </c>
      <c r="B113" s="6">
        <v>15728</v>
      </c>
      <c r="C113" s="6">
        <v>16703</v>
      </c>
      <c r="D113" s="6">
        <v>15418</v>
      </c>
      <c r="E113" s="6">
        <v>16703</v>
      </c>
      <c r="F113" s="6">
        <v>403100</v>
      </c>
      <c r="G113" s="7">
        <f t="shared" ref="G113:H113" si="110">(E113-E112)/E112</f>
        <v>7.6640453783679258E-2</v>
      </c>
      <c r="H113" s="7">
        <f t="shared" si="110"/>
        <v>-7.6306141154903764E-2</v>
      </c>
      <c r="I113" s="8">
        <f>IF(COUNTIF(Event_Rumor!$B$2:$B$9,A113)&gt;0,1,0)</f>
        <v>0</v>
      </c>
      <c r="J113" s="8" t="str">
        <f t="array" ref="J1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13" s="8" t="str">
        <f t="array" ref="K113">IF(I113=1,"Event",IF(J113="-","Normal",IF(INDEX(Event_Rumor!$G$2:$G$9,MATCH(J113,Event_Rumor!$A$2:$A$9,0))&gt;ROW(),"Pre","Post")))</f>
        <v>Post</v>
      </c>
      <c r="L113" s="11">
        <f t="array" ref="L113">IF(J113="-","-",INDEX(Event_Rumor!$E$2:$E$9,MATCH(J113,Event_Rumor!$A$2:$A$9,0)))</f>
        <v>0</v>
      </c>
    </row>
    <row r="114" spans="1:12" ht="15" customHeight="1" x14ac:dyDescent="0.3">
      <c r="A114" s="26">
        <v>45476</v>
      </c>
      <c r="B114" s="6">
        <v>16703</v>
      </c>
      <c r="C114" s="6">
        <v>18369</v>
      </c>
      <c r="D114" s="6">
        <v>16703</v>
      </c>
      <c r="E114" s="6">
        <v>18321</v>
      </c>
      <c r="F114" s="6">
        <v>622800</v>
      </c>
      <c r="G114" s="7">
        <f t="shared" ref="G114:H114" si="111">(E114-E113)/E113</f>
        <v>9.6868825959408489E-2</v>
      </c>
      <c r="H114" s="7">
        <f t="shared" si="111"/>
        <v>0.54502604812701561</v>
      </c>
      <c r="I114" s="8">
        <f>IF(COUNTIF(Event_Rumor!$B$2:$B$9,A114)&gt;0,1,0)</f>
        <v>0</v>
      </c>
      <c r="J114" s="8" t="str">
        <f t="array" ref="J1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E01</v>
      </c>
      <c r="K114" s="8" t="str">
        <f t="array" ref="K114">IF(I114=1,"Event",IF(J114="-","Normal",IF(INDEX(Event_Rumor!$G$2:$G$9,MATCH(J114,Event_Rumor!$A$2:$A$9,0))&gt;ROW(),"Pre","Post")))</f>
        <v>Post</v>
      </c>
      <c r="L114" s="11">
        <f t="array" ref="L114">IF(J114="-","-",INDEX(Event_Rumor!$E$2:$E$9,MATCH(J114,Event_Rumor!$A$2:$A$9,0)))</f>
        <v>0</v>
      </c>
    </row>
    <row r="115" spans="1:12" ht="15" customHeight="1" x14ac:dyDescent="0.3">
      <c r="A115" s="26">
        <v>45477</v>
      </c>
      <c r="B115" s="6">
        <v>18321</v>
      </c>
      <c r="C115" s="6">
        <v>18417</v>
      </c>
      <c r="D115" s="6">
        <v>17417</v>
      </c>
      <c r="E115" s="6">
        <v>18060</v>
      </c>
      <c r="F115" s="6">
        <v>1002300</v>
      </c>
      <c r="G115" s="7">
        <f t="shared" ref="G115:H115" si="112">(E115-E114)/E114</f>
        <v>-1.4245947273620435E-2</v>
      </c>
      <c r="H115" s="7">
        <f t="shared" si="112"/>
        <v>0.609344894026975</v>
      </c>
      <c r="I115" s="8">
        <f>IF(COUNTIF(Event_Rumor!$B$2:$B$9,A115)&gt;0,1,0)</f>
        <v>0</v>
      </c>
      <c r="J115" s="8" t="str">
        <f t="array" ref="J1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15" s="8" t="str">
        <f t="array" ref="K115">IF(I115=1,"Event",IF(J115="-","Normal",IF(INDEX(Event_Rumor!$G$2:$G$9,MATCH(J115,Event_Rumor!$A$2:$A$9,0))&gt;ROW(),"Pre","Post")))</f>
        <v>Normal</v>
      </c>
      <c r="L115" s="11" t="str">
        <f t="array" ref="L115">IF(J115="-","-",INDEX(Event_Rumor!$E$2:$E$9,MATCH(J115,Event_Rumor!$A$2:$A$9,0)))</f>
        <v>-</v>
      </c>
    </row>
    <row r="116" spans="1:12" ht="15" customHeight="1" x14ac:dyDescent="0.3">
      <c r="A116" s="26">
        <v>45478</v>
      </c>
      <c r="B116" s="6">
        <v>18036</v>
      </c>
      <c r="C116" s="6">
        <v>18084</v>
      </c>
      <c r="D116" s="6">
        <v>17703</v>
      </c>
      <c r="E116" s="6">
        <v>17941</v>
      </c>
      <c r="F116" s="6">
        <v>216800</v>
      </c>
      <c r="G116" s="7">
        <f t="shared" ref="G116:H116" si="113">(E116-E115)/E115</f>
        <v>-6.5891472868217053E-3</v>
      </c>
      <c r="H116" s="7">
        <f t="shared" si="113"/>
        <v>-0.78369749575975256</v>
      </c>
      <c r="I116" s="8">
        <f>IF(COUNTIF(Event_Rumor!$B$2:$B$9,A116)&gt;0,1,0)</f>
        <v>0</v>
      </c>
      <c r="J116" s="8" t="str">
        <f t="array" ref="J1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16" s="8" t="str">
        <f t="array" ref="K116">IF(I116=1,"Event",IF(J116="-","Normal",IF(INDEX(Event_Rumor!$G$2:$G$9,MATCH(J116,Event_Rumor!$A$2:$A$9,0))&gt;ROW(),"Pre","Post")))</f>
        <v>Normal</v>
      </c>
      <c r="L116" s="11" t="str">
        <f t="array" ref="L116">IF(J116="-","-",INDEX(Event_Rumor!$E$2:$E$9,MATCH(J116,Event_Rumor!$A$2:$A$9,0)))</f>
        <v>-</v>
      </c>
    </row>
    <row r="117" spans="1:12" ht="15" customHeight="1" x14ac:dyDescent="0.3">
      <c r="A117" s="26">
        <v>45481</v>
      </c>
      <c r="B117" s="6">
        <v>18081</v>
      </c>
      <c r="C117" s="6">
        <v>18081</v>
      </c>
      <c r="D117" s="6">
        <v>17578</v>
      </c>
      <c r="E117" s="6">
        <v>17889</v>
      </c>
      <c r="F117" s="6">
        <v>299200</v>
      </c>
      <c r="G117" s="7">
        <f t="shared" ref="G117:H117" si="114">(E117-E116)/E116</f>
        <v>-2.8983891644835851E-3</v>
      </c>
      <c r="H117" s="7">
        <f t="shared" si="114"/>
        <v>0.38007380073800739</v>
      </c>
      <c r="I117" s="8">
        <f>IF(COUNTIF(Event_Rumor!$B$2:$B$9,A117)&gt;0,1,0)</f>
        <v>0</v>
      </c>
      <c r="J117" s="8" t="str">
        <f t="array" ref="J1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17" s="8" t="str">
        <f t="array" ref="K117">IF(I117=1,"Event",IF(J117="-","Normal",IF(INDEX(Event_Rumor!$G$2:$G$9,MATCH(J117,Event_Rumor!$A$2:$A$9,0))&gt;ROW(),"Pre","Post")))</f>
        <v>Normal</v>
      </c>
      <c r="L117" s="11" t="str">
        <f t="array" ref="L117">IF(J117="-","-",INDEX(Event_Rumor!$E$2:$E$9,MATCH(J117,Event_Rumor!$A$2:$A$9,0)))</f>
        <v>-</v>
      </c>
    </row>
    <row r="118" spans="1:12" ht="15" customHeight="1" x14ac:dyDescent="0.3">
      <c r="A118" s="26">
        <v>45482</v>
      </c>
      <c r="B118" s="6">
        <v>17697</v>
      </c>
      <c r="C118" s="6">
        <v>17889</v>
      </c>
      <c r="D118" s="6">
        <v>17602</v>
      </c>
      <c r="E118" s="6">
        <v>17865</v>
      </c>
      <c r="F118" s="6">
        <v>103200</v>
      </c>
      <c r="G118" s="7">
        <f t="shared" ref="G118:H118" si="115">(E118-E117)/E117</f>
        <v>-1.3416065738722119E-3</v>
      </c>
      <c r="H118" s="7">
        <f t="shared" si="115"/>
        <v>-0.65508021390374327</v>
      </c>
      <c r="I118" s="8">
        <f>IF(COUNTIF(Event_Rumor!$B$2:$B$9,A118)&gt;0,1,0)</f>
        <v>0</v>
      </c>
      <c r="J118" s="8" t="str">
        <f t="array" ref="J1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18" s="8" t="str">
        <f t="array" ref="K118">IF(I118=1,"Event",IF(J118="-","Normal",IF(INDEX(Event_Rumor!$G$2:$G$9,MATCH(J118,Event_Rumor!$A$2:$A$9,0))&gt;ROW(),"Pre","Post")))</f>
        <v>Normal</v>
      </c>
      <c r="L118" s="11" t="str">
        <f t="array" ref="L118">IF(J118="-","-",INDEX(Event_Rumor!$E$2:$E$9,MATCH(J118,Event_Rumor!$A$2:$A$9,0)))</f>
        <v>-</v>
      </c>
    </row>
    <row r="119" spans="1:12" ht="15" customHeight="1" x14ac:dyDescent="0.3">
      <c r="A119" s="26">
        <v>45483</v>
      </c>
      <c r="B119" s="6">
        <v>17865</v>
      </c>
      <c r="C119" s="6">
        <v>17865</v>
      </c>
      <c r="D119" s="6">
        <v>17602</v>
      </c>
      <c r="E119" s="6">
        <v>17697</v>
      </c>
      <c r="F119" s="6">
        <v>123900</v>
      </c>
      <c r="G119" s="7">
        <f t="shared" ref="G119:H119" si="116">(E119-E118)/E118</f>
        <v>-9.4038623005877411E-3</v>
      </c>
      <c r="H119" s="7">
        <f t="shared" si="116"/>
        <v>0.2005813953488372</v>
      </c>
      <c r="I119" s="8">
        <f>IF(COUNTIF(Event_Rumor!$B$2:$B$9,A119)&gt;0,1,0)</f>
        <v>0</v>
      </c>
      <c r="J119" s="8" t="str">
        <f t="array" ref="J1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19" s="8" t="str">
        <f t="array" ref="K119">IF(I119=1,"Event",IF(J119="-","Normal",IF(INDEX(Event_Rumor!$G$2:$G$9,MATCH(J119,Event_Rumor!$A$2:$A$9,0))&gt;ROW(),"Pre","Post")))</f>
        <v>Normal</v>
      </c>
      <c r="L119" s="11" t="str">
        <f t="array" ref="L119">IF(J119="-","-",INDEX(Event_Rumor!$E$2:$E$9,MATCH(J119,Event_Rumor!$A$2:$A$9,0)))</f>
        <v>-</v>
      </c>
    </row>
    <row r="120" spans="1:12" ht="15" customHeight="1" x14ac:dyDescent="0.3">
      <c r="A120" s="26">
        <v>45484</v>
      </c>
      <c r="B120" s="6">
        <v>17673</v>
      </c>
      <c r="C120" s="6">
        <v>18033</v>
      </c>
      <c r="D120" s="6">
        <v>17649</v>
      </c>
      <c r="E120" s="6">
        <v>17889</v>
      </c>
      <c r="F120" s="6">
        <v>202500</v>
      </c>
      <c r="G120" s="7">
        <f t="shared" ref="G120:H120" si="117">(E120-E119)/E119</f>
        <v>1.0849296490930666E-2</v>
      </c>
      <c r="H120" s="7">
        <f t="shared" si="117"/>
        <v>0.63438256658595638</v>
      </c>
      <c r="I120" s="8">
        <f>IF(COUNTIF(Event_Rumor!$B$2:$B$9,A120)&gt;0,1,0)</f>
        <v>0</v>
      </c>
      <c r="J120" s="8" t="str">
        <f t="array" ref="J1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0" s="8" t="str">
        <f t="array" ref="K120">IF(I120=1,"Event",IF(J120="-","Normal",IF(INDEX(Event_Rumor!$G$2:$G$9,MATCH(J120,Event_Rumor!$A$2:$A$9,0))&gt;ROW(),"Pre","Post")))</f>
        <v>Normal</v>
      </c>
      <c r="L120" s="11" t="str">
        <f t="array" ref="L120">IF(J120="-","-",INDEX(Event_Rumor!$E$2:$E$9,MATCH(J120,Event_Rumor!$A$2:$A$9,0)))</f>
        <v>-</v>
      </c>
    </row>
    <row r="121" spans="1:12" ht="15" customHeight="1" x14ac:dyDescent="0.3">
      <c r="A121" s="26">
        <v>45485</v>
      </c>
      <c r="B121" s="6">
        <v>17889</v>
      </c>
      <c r="C121" s="6">
        <v>17889</v>
      </c>
      <c r="D121" s="6">
        <v>17602</v>
      </c>
      <c r="E121" s="6">
        <v>17602</v>
      </c>
      <c r="F121" s="6">
        <v>242800</v>
      </c>
      <c r="G121" s="7">
        <f t="shared" ref="G121:H121" si="118">(E121-E120)/E120</f>
        <v>-1.6043378612555202E-2</v>
      </c>
      <c r="H121" s="7">
        <f t="shared" si="118"/>
        <v>0.19901234567901235</v>
      </c>
      <c r="I121" s="8">
        <f>IF(COUNTIF(Event_Rumor!$B$2:$B$9,A121)&gt;0,1,0)</f>
        <v>0</v>
      </c>
      <c r="J121" s="8" t="str">
        <f t="array" ref="J1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1" s="8" t="str">
        <f t="array" ref="K121">IF(I121=1,"Event",IF(J121="-","Normal",IF(INDEX(Event_Rumor!$G$2:$G$9,MATCH(J121,Event_Rumor!$A$2:$A$9,0))&gt;ROW(),"Pre","Post")))</f>
        <v>Normal</v>
      </c>
      <c r="L121" s="11" t="str">
        <f t="array" ref="L121">IF(J121="-","-",INDEX(Event_Rumor!$E$2:$E$9,MATCH(J121,Event_Rumor!$A$2:$A$9,0)))</f>
        <v>-</v>
      </c>
    </row>
    <row r="122" spans="1:12" ht="15" customHeight="1" x14ac:dyDescent="0.3">
      <c r="A122" s="26">
        <v>45488</v>
      </c>
      <c r="B122" s="6">
        <v>17673</v>
      </c>
      <c r="C122" s="6">
        <v>17745</v>
      </c>
      <c r="D122" s="6">
        <v>17194</v>
      </c>
      <c r="E122" s="6">
        <v>17242</v>
      </c>
      <c r="F122" s="6">
        <v>240400</v>
      </c>
      <c r="G122" s="7">
        <f t="shared" ref="G122:H122" si="119">(E122-E121)/E121</f>
        <v>-2.0452221338484265E-2</v>
      </c>
      <c r="H122" s="7">
        <f t="shared" si="119"/>
        <v>-9.8846787479406912E-3</v>
      </c>
      <c r="I122" s="8">
        <f>IF(COUNTIF(Event_Rumor!$B$2:$B$9,A122)&gt;0,1,0)</f>
        <v>0</v>
      </c>
      <c r="J122" s="8" t="str">
        <f t="array" ref="J1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2" s="8" t="str">
        <f t="array" ref="K122">IF(I122=1,"Event",IF(J122="-","Normal",IF(INDEX(Event_Rumor!$G$2:$G$9,MATCH(J122,Event_Rumor!$A$2:$A$9,0))&gt;ROW(),"Pre","Post")))</f>
        <v>Normal</v>
      </c>
      <c r="L122" s="11" t="str">
        <f t="array" ref="L122">IF(J122="-","-",INDEX(Event_Rumor!$E$2:$E$9,MATCH(J122,Event_Rumor!$A$2:$A$9,0)))</f>
        <v>-</v>
      </c>
    </row>
    <row r="123" spans="1:12" ht="15" customHeight="1" x14ac:dyDescent="0.3">
      <c r="A123" s="26">
        <v>45489</v>
      </c>
      <c r="B123" s="6">
        <v>17218</v>
      </c>
      <c r="C123" s="6">
        <v>17242</v>
      </c>
      <c r="D123" s="6">
        <v>16882</v>
      </c>
      <c r="E123" s="6">
        <v>17218</v>
      </c>
      <c r="F123" s="6">
        <v>162900</v>
      </c>
      <c r="G123" s="7">
        <f t="shared" ref="G123:H123" si="120">(E123-E122)/E122</f>
        <v>-1.391949889803967E-3</v>
      </c>
      <c r="H123" s="7">
        <f t="shared" si="120"/>
        <v>-0.32237936772046588</v>
      </c>
      <c r="I123" s="8">
        <f>IF(COUNTIF(Event_Rumor!$B$2:$B$9,A123)&gt;0,1,0)</f>
        <v>0</v>
      </c>
      <c r="J123" s="8" t="str">
        <f t="array" ref="J1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3" s="8" t="str">
        <f t="array" ref="K123">IF(I123=1,"Event",IF(J123="-","Normal",IF(INDEX(Event_Rumor!$G$2:$G$9,MATCH(J123,Event_Rumor!$A$2:$A$9,0))&gt;ROW(),"Pre","Post")))</f>
        <v>Normal</v>
      </c>
      <c r="L123" s="11" t="str">
        <f t="array" ref="L123">IF(J123="-","-",INDEX(Event_Rumor!$E$2:$E$9,MATCH(J123,Event_Rumor!$A$2:$A$9,0)))</f>
        <v>-</v>
      </c>
    </row>
    <row r="124" spans="1:12" ht="15" customHeight="1" x14ac:dyDescent="0.3">
      <c r="A124" s="26">
        <v>45490</v>
      </c>
      <c r="B124" s="6">
        <v>17218</v>
      </c>
      <c r="C124" s="6">
        <v>17530</v>
      </c>
      <c r="D124" s="6">
        <v>16954</v>
      </c>
      <c r="E124" s="6">
        <v>17458</v>
      </c>
      <c r="F124" s="6">
        <v>387000</v>
      </c>
      <c r="G124" s="7">
        <f t="shared" ref="G124:H124" si="121">(E124-E123)/E123</f>
        <v>1.3938901149959345E-2</v>
      </c>
      <c r="H124" s="7">
        <f t="shared" si="121"/>
        <v>1.3756906077348066</v>
      </c>
      <c r="I124" s="8">
        <f>IF(COUNTIF(Event_Rumor!$B$2:$B$9,A124)&gt;0,1,0)</f>
        <v>0</v>
      </c>
      <c r="J124" s="8" t="str">
        <f t="array" ref="J1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4" s="8" t="str">
        <f t="array" ref="K124">IF(I124=1,"Event",IF(J124="-","Normal",IF(INDEX(Event_Rumor!$G$2:$G$9,MATCH(J124,Event_Rumor!$A$2:$A$9,0))&gt;ROW(),"Pre","Post")))</f>
        <v>Normal</v>
      </c>
      <c r="L124" s="11" t="str">
        <f t="array" ref="L124">IF(J124="-","-",INDEX(Event_Rumor!$E$2:$E$9,MATCH(J124,Event_Rumor!$A$2:$A$9,0)))</f>
        <v>-</v>
      </c>
    </row>
    <row r="125" spans="1:12" ht="15" customHeight="1" x14ac:dyDescent="0.3">
      <c r="A125" s="26">
        <v>45491</v>
      </c>
      <c r="B125" s="6">
        <v>17506</v>
      </c>
      <c r="C125" s="6">
        <v>17649</v>
      </c>
      <c r="D125" s="6">
        <v>17146</v>
      </c>
      <c r="E125" s="6">
        <v>17194</v>
      </c>
      <c r="F125" s="6">
        <v>151200</v>
      </c>
      <c r="G125" s="7">
        <f t="shared" ref="G125:H125" si="122">(E125-E124)/E124</f>
        <v>-1.5122007102760912E-2</v>
      </c>
      <c r="H125" s="7">
        <f t="shared" si="122"/>
        <v>-0.6093023255813953</v>
      </c>
      <c r="I125" s="8">
        <f>IF(COUNTIF(Event_Rumor!$B$2:$B$9,A125)&gt;0,1,0)</f>
        <v>0</v>
      </c>
      <c r="J125" s="8" t="str">
        <f t="array" ref="J1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5" s="8" t="str">
        <f t="array" ref="K125">IF(I125=1,"Event",IF(J125="-","Normal",IF(INDEX(Event_Rumor!$G$2:$G$9,MATCH(J125,Event_Rumor!$A$2:$A$9,0))&gt;ROW(),"Pre","Post")))</f>
        <v>Normal</v>
      </c>
      <c r="L125" s="11" t="str">
        <f t="array" ref="L125">IF(J125="-","-",INDEX(Event_Rumor!$E$2:$E$9,MATCH(J125,Event_Rumor!$A$2:$A$9,0)))</f>
        <v>-</v>
      </c>
    </row>
    <row r="126" spans="1:12" ht="15" customHeight="1" x14ac:dyDescent="0.3">
      <c r="A126" s="26">
        <v>45492</v>
      </c>
      <c r="B126" s="6">
        <v>17266</v>
      </c>
      <c r="C126" s="6">
        <v>17266</v>
      </c>
      <c r="D126" s="6">
        <v>17074</v>
      </c>
      <c r="E126" s="6">
        <v>17218</v>
      </c>
      <c r="F126" s="6">
        <v>76900</v>
      </c>
      <c r="G126" s="7">
        <f t="shared" ref="G126:H126" si="123">(E126-E125)/E125</f>
        <v>1.3958357566592997E-3</v>
      </c>
      <c r="H126" s="7">
        <f t="shared" si="123"/>
        <v>-0.4914021164021164</v>
      </c>
      <c r="I126" s="8">
        <f>IF(COUNTIF(Event_Rumor!$B$2:$B$9,A126)&gt;0,1,0)</f>
        <v>0</v>
      </c>
      <c r="J126" s="8" t="str">
        <f t="array" ref="J1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6" s="8" t="str">
        <f t="array" ref="K126">IF(I126=1,"Event",IF(J126="-","Normal",IF(INDEX(Event_Rumor!$G$2:$G$9,MATCH(J126,Event_Rumor!$A$2:$A$9,0))&gt;ROW(),"Pre","Post")))</f>
        <v>Normal</v>
      </c>
      <c r="L126" s="11" t="str">
        <f t="array" ref="L126">IF(J126="-","-",INDEX(Event_Rumor!$E$2:$E$9,MATCH(J126,Event_Rumor!$A$2:$A$9,0)))</f>
        <v>-</v>
      </c>
    </row>
    <row r="127" spans="1:12" ht="15" customHeight="1" x14ac:dyDescent="0.3">
      <c r="A127" s="26">
        <v>45495</v>
      </c>
      <c r="B127" s="6">
        <v>17218</v>
      </c>
      <c r="C127" s="6">
        <v>17218</v>
      </c>
      <c r="D127" s="6">
        <v>16738</v>
      </c>
      <c r="E127" s="6">
        <v>16786</v>
      </c>
      <c r="F127" s="6">
        <v>443000</v>
      </c>
      <c r="G127" s="7">
        <f t="shared" ref="G127:H127" si="124">(E127-E126)/E126</f>
        <v>-2.5090022069926821E-2</v>
      </c>
      <c r="H127" s="7">
        <f t="shared" si="124"/>
        <v>4.7607282184655393</v>
      </c>
      <c r="I127" s="8">
        <f>IF(COUNTIF(Event_Rumor!$B$2:$B$9,A127)&gt;0,1,0)</f>
        <v>0</v>
      </c>
      <c r="J127" s="8" t="str">
        <f t="array" ref="J1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7" s="8" t="str">
        <f t="array" ref="K127">IF(I127=1,"Event",IF(J127="-","Normal",IF(INDEX(Event_Rumor!$G$2:$G$9,MATCH(J127,Event_Rumor!$A$2:$A$9,0))&gt;ROW(),"Pre","Post")))</f>
        <v>Normal</v>
      </c>
      <c r="L127" s="11" t="str">
        <f t="array" ref="L127">IF(J127="-","-",INDEX(Event_Rumor!$E$2:$E$9,MATCH(J127,Event_Rumor!$A$2:$A$9,0)))</f>
        <v>-</v>
      </c>
    </row>
    <row r="128" spans="1:12" ht="15" customHeight="1" x14ac:dyDescent="0.3">
      <c r="A128" s="26">
        <v>45496</v>
      </c>
      <c r="B128" s="6">
        <v>16786</v>
      </c>
      <c r="C128" s="6">
        <v>16786</v>
      </c>
      <c r="D128" s="6">
        <v>16450</v>
      </c>
      <c r="E128" s="6">
        <v>16714</v>
      </c>
      <c r="F128" s="6">
        <v>405600</v>
      </c>
      <c r="G128" s="7">
        <f t="shared" ref="G128:H128" si="125">(E128-E127)/E127</f>
        <v>-4.2892886929584177E-3</v>
      </c>
      <c r="H128" s="7">
        <f t="shared" si="125"/>
        <v>-8.4424379232505647E-2</v>
      </c>
      <c r="I128" s="8">
        <f>IF(COUNTIF(Event_Rumor!$B$2:$B$9,A128)&gt;0,1,0)</f>
        <v>0</v>
      </c>
      <c r="J128" s="8" t="str">
        <f t="array" ref="J1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8" s="8" t="str">
        <f t="array" ref="K128">IF(I128=1,"Event",IF(J128="-","Normal",IF(INDEX(Event_Rumor!$G$2:$G$9,MATCH(J128,Event_Rumor!$A$2:$A$9,0))&gt;ROW(),"Pre","Post")))</f>
        <v>Normal</v>
      </c>
      <c r="L128" s="11" t="str">
        <f t="array" ref="L128">IF(J128="-","-",INDEX(Event_Rumor!$E$2:$E$9,MATCH(J128,Event_Rumor!$A$2:$A$9,0)))</f>
        <v>-</v>
      </c>
    </row>
    <row r="129" spans="1:12" ht="15" customHeight="1" x14ac:dyDescent="0.3">
      <c r="A129" s="26">
        <v>45497</v>
      </c>
      <c r="B129" s="6">
        <v>16786</v>
      </c>
      <c r="C129" s="6">
        <v>16882</v>
      </c>
      <c r="D129" s="6">
        <v>16570</v>
      </c>
      <c r="E129" s="6">
        <v>16570</v>
      </c>
      <c r="F129" s="6">
        <v>126200</v>
      </c>
      <c r="G129" s="7">
        <f t="shared" ref="G129:H129" si="126">(E129-E128)/E128</f>
        <v>-8.6155318894340083E-3</v>
      </c>
      <c r="H129" s="7">
        <f t="shared" si="126"/>
        <v>-0.68885601577909272</v>
      </c>
      <c r="I129" s="8">
        <f>IF(COUNTIF(Event_Rumor!$B$2:$B$9,A129)&gt;0,1,0)</f>
        <v>0</v>
      </c>
      <c r="J129" s="8" t="str">
        <f t="array" ref="J1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29" s="8" t="str">
        <f t="array" ref="K129">IF(I129=1,"Event",IF(J129="-","Normal",IF(INDEX(Event_Rumor!$G$2:$G$9,MATCH(J129,Event_Rumor!$A$2:$A$9,0))&gt;ROW(),"Pre","Post")))</f>
        <v>Normal</v>
      </c>
      <c r="L129" s="11" t="str">
        <f t="array" ref="L129">IF(J129="-","-",INDEX(Event_Rumor!$E$2:$E$9,MATCH(J129,Event_Rumor!$A$2:$A$9,0)))</f>
        <v>-</v>
      </c>
    </row>
    <row r="130" spans="1:12" ht="15" customHeight="1" x14ac:dyDescent="0.3">
      <c r="A130" s="26">
        <v>45498</v>
      </c>
      <c r="B130" s="6">
        <v>16594</v>
      </c>
      <c r="C130" s="6">
        <v>17242</v>
      </c>
      <c r="D130" s="6">
        <v>16594</v>
      </c>
      <c r="E130" s="6">
        <v>16786</v>
      </c>
      <c r="F130" s="6">
        <v>409100</v>
      </c>
      <c r="G130" s="7">
        <f t="shared" ref="G130:H130" si="127">(E130-E129)/E129</f>
        <v>1.3035606517803259E-2</v>
      </c>
      <c r="H130" s="7">
        <f t="shared" si="127"/>
        <v>2.2416798732171155</v>
      </c>
      <c r="I130" s="8">
        <f>IF(COUNTIF(Event_Rumor!$B$2:$B$9,A130)&gt;0,1,0)</f>
        <v>0</v>
      </c>
      <c r="J130" s="8" t="str">
        <f t="array" ref="J1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0" s="8" t="str">
        <f t="array" ref="K130">IF(I130=1,"Event",IF(J130="-","Normal",IF(INDEX(Event_Rumor!$G$2:$G$9,MATCH(J130,Event_Rumor!$A$2:$A$9,0))&gt;ROW(),"Pre","Post")))</f>
        <v>Normal</v>
      </c>
      <c r="L130" s="11" t="str">
        <f t="array" ref="L130">IF(J130="-","-",INDEX(Event_Rumor!$E$2:$E$9,MATCH(J130,Event_Rumor!$A$2:$A$9,0)))</f>
        <v>-</v>
      </c>
    </row>
    <row r="131" spans="1:12" ht="15" customHeight="1" x14ac:dyDescent="0.3">
      <c r="A131" s="26">
        <v>45499</v>
      </c>
      <c r="B131" s="6">
        <v>16834</v>
      </c>
      <c r="C131" s="6">
        <v>16834</v>
      </c>
      <c r="D131" s="6">
        <v>16450</v>
      </c>
      <c r="E131" s="6">
        <v>16594</v>
      </c>
      <c r="F131" s="6">
        <v>247900</v>
      </c>
      <c r="G131" s="7">
        <f t="shared" ref="G131:H131" si="128">(E131-E130)/E130</f>
        <v>-1.1438103181222447E-2</v>
      </c>
      <c r="H131" s="7">
        <f t="shared" si="128"/>
        <v>-0.39403568809582007</v>
      </c>
      <c r="I131" s="8">
        <f>IF(COUNTIF(Event_Rumor!$B$2:$B$9,A131)&gt;0,1,0)</f>
        <v>0</v>
      </c>
      <c r="J131" s="8" t="str">
        <f t="array" ref="J1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1" s="8" t="str">
        <f t="array" ref="K131">IF(I131=1,"Event",IF(J131="-","Normal",IF(INDEX(Event_Rumor!$G$2:$G$9,MATCH(J131,Event_Rumor!$A$2:$A$9,0))&gt;ROW(),"Pre","Post")))</f>
        <v>Normal</v>
      </c>
      <c r="L131" s="11" t="str">
        <f t="array" ref="L131">IF(J131="-","-",INDEX(Event_Rumor!$E$2:$E$9,MATCH(J131,Event_Rumor!$A$2:$A$9,0)))</f>
        <v>-</v>
      </c>
    </row>
    <row r="132" spans="1:12" ht="15" customHeight="1" x14ac:dyDescent="0.3">
      <c r="A132" s="26">
        <v>45502</v>
      </c>
      <c r="B132" s="6">
        <v>16786</v>
      </c>
      <c r="C132" s="6">
        <v>16786</v>
      </c>
      <c r="D132" s="6">
        <v>16426</v>
      </c>
      <c r="E132" s="6">
        <v>16498</v>
      </c>
      <c r="F132" s="6">
        <v>240600</v>
      </c>
      <c r="G132" s="7">
        <f t="shared" ref="G132:H132" si="129">(E132-E131)/E131</f>
        <v>-5.7852235747860676E-3</v>
      </c>
      <c r="H132" s="7">
        <f t="shared" si="129"/>
        <v>-2.944735780556676E-2</v>
      </c>
      <c r="I132" s="8">
        <f>IF(COUNTIF(Event_Rumor!$B$2:$B$9,A132)&gt;0,1,0)</f>
        <v>0</v>
      </c>
      <c r="J132" s="8" t="str">
        <f t="array" ref="J1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2" s="8" t="str">
        <f t="array" ref="K132">IF(I132=1,"Event",IF(J132="-","Normal",IF(INDEX(Event_Rumor!$G$2:$G$9,MATCH(J132,Event_Rumor!$A$2:$A$9,0))&gt;ROW(),"Pre","Post")))</f>
        <v>Normal</v>
      </c>
      <c r="L132" s="11" t="str">
        <f t="array" ref="L132">IF(J132="-","-",INDEX(Event_Rumor!$E$2:$E$9,MATCH(J132,Event_Rumor!$A$2:$A$9,0)))</f>
        <v>-</v>
      </c>
    </row>
    <row r="133" spans="1:12" ht="15" customHeight="1" x14ac:dyDescent="0.3">
      <c r="A133" s="26">
        <v>45503</v>
      </c>
      <c r="B133" s="6">
        <v>16498</v>
      </c>
      <c r="C133" s="6">
        <v>16594</v>
      </c>
      <c r="D133" s="6">
        <v>16379</v>
      </c>
      <c r="E133" s="6">
        <v>16498</v>
      </c>
      <c r="F133" s="6">
        <v>191700</v>
      </c>
      <c r="G133" s="7">
        <f t="shared" ref="G133:H133" si="130">(E133-E132)/E132</f>
        <v>0</v>
      </c>
      <c r="H133" s="7">
        <f t="shared" si="130"/>
        <v>-0.20324189526184538</v>
      </c>
      <c r="I133" s="8">
        <f>IF(COUNTIF(Event_Rumor!$B$2:$B$9,A133)&gt;0,1,0)</f>
        <v>0</v>
      </c>
      <c r="J133" s="8" t="str">
        <f t="array" ref="J1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3" s="8" t="str">
        <f t="array" ref="K133">IF(I133=1,"Event",IF(J133="-","Normal",IF(INDEX(Event_Rumor!$G$2:$G$9,MATCH(J133,Event_Rumor!$A$2:$A$9,0))&gt;ROW(),"Pre","Post")))</f>
        <v>Normal</v>
      </c>
      <c r="L133" s="11" t="str">
        <f t="array" ref="L133">IF(J133="-","-",INDEX(Event_Rumor!$E$2:$E$9,MATCH(J133,Event_Rumor!$A$2:$A$9,0)))</f>
        <v>-</v>
      </c>
    </row>
    <row r="134" spans="1:12" ht="15" customHeight="1" x14ac:dyDescent="0.3">
      <c r="A134" s="26">
        <v>45504</v>
      </c>
      <c r="B134" s="6">
        <v>16402</v>
      </c>
      <c r="C134" s="6">
        <v>16402</v>
      </c>
      <c r="D134" s="6">
        <v>16355</v>
      </c>
      <c r="E134" s="6">
        <v>16355</v>
      </c>
      <c r="F134" s="6">
        <v>233300</v>
      </c>
      <c r="G134" s="7">
        <f t="shared" ref="G134:H134" si="131">(E134-E133)/E133</f>
        <v>-8.6677172990665529E-3</v>
      </c>
      <c r="H134" s="7">
        <f t="shared" si="131"/>
        <v>0.21700573813249868</v>
      </c>
      <c r="I134" s="8">
        <f>IF(COUNTIF(Event_Rumor!$B$2:$B$9,A134)&gt;0,1,0)</f>
        <v>0</v>
      </c>
      <c r="J134" s="8" t="str">
        <f t="array" ref="J1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4" s="8" t="str">
        <f t="array" ref="K134">IF(I134=1,"Event",IF(J134="-","Normal",IF(INDEX(Event_Rumor!$G$2:$G$9,MATCH(J134,Event_Rumor!$A$2:$A$9,0))&gt;ROW(),"Pre","Post")))</f>
        <v>Normal</v>
      </c>
      <c r="L134" s="11" t="str">
        <f t="array" ref="L134">IF(J134="-","-",INDEX(Event_Rumor!$E$2:$E$9,MATCH(J134,Event_Rumor!$A$2:$A$9,0)))</f>
        <v>-</v>
      </c>
    </row>
    <row r="135" spans="1:12" ht="15" customHeight="1" x14ac:dyDescent="0.3">
      <c r="A135" s="26">
        <v>45505</v>
      </c>
      <c r="B135" s="6">
        <v>16307</v>
      </c>
      <c r="C135" s="6">
        <v>16498</v>
      </c>
      <c r="D135" s="6">
        <v>16307</v>
      </c>
      <c r="E135" s="6">
        <v>16331</v>
      </c>
      <c r="F135" s="6">
        <v>145000</v>
      </c>
      <c r="G135" s="7">
        <f t="shared" ref="G135:H135" si="132">(E135-E134)/E134</f>
        <v>-1.4674411494955671E-3</v>
      </c>
      <c r="H135" s="7">
        <f t="shared" si="132"/>
        <v>-0.37848264037719676</v>
      </c>
      <c r="I135" s="8">
        <f>IF(COUNTIF(Event_Rumor!$B$2:$B$9,A135)&gt;0,1,0)</f>
        <v>0</v>
      </c>
      <c r="J135" s="8" t="str">
        <f t="array" ref="J1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5" s="8" t="str">
        <f t="array" ref="K135">IF(I135=1,"Event",IF(J135="-","Normal",IF(INDEX(Event_Rumor!$G$2:$G$9,MATCH(J135,Event_Rumor!$A$2:$A$9,0))&gt;ROW(),"Pre","Post")))</f>
        <v>Normal</v>
      </c>
      <c r="L135" s="11" t="str">
        <f t="array" ref="L135">IF(J135="-","-",INDEX(Event_Rumor!$E$2:$E$9,MATCH(J135,Event_Rumor!$A$2:$A$9,0)))</f>
        <v>-</v>
      </c>
    </row>
    <row r="136" spans="1:12" ht="15" customHeight="1" x14ac:dyDescent="0.3">
      <c r="A136" s="26">
        <v>45506</v>
      </c>
      <c r="B136" s="6">
        <v>16331</v>
      </c>
      <c r="C136" s="6">
        <v>16474</v>
      </c>
      <c r="D136" s="6">
        <v>16283</v>
      </c>
      <c r="E136" s="6">
        <v>16307</v>
      </c>
      <c r="F136" s="6">
        <v>192800</v>
      </c>
      <c r="G136" s="7">
        <f t="shared" ref="G136:H136" si="133">(E136-E135)/E135</f>
        <v>-1.4695976976302736E-3</v>
      </c>
      <c r="H136" s="7">
        <f t="shared" si="133"/>
        <v>0.32965517241379311</v>
      </c>
      <c r="I136" s="8">
        <f>IF(COUNTIF(Event_Rumor!$B$2:$B$9,A136)&gt;0,1,0)</f>
        <v>0</v>
      </c>
      <c r="J136" s="8" t="str">
        <f t="array" ref="J1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6" s="8" t="str">
        <f t="array" ref="K136">IF(I136=1,"Event",IF(J136="-","Normal",IF(INDEX(Event_Rumor!$G$2:$G$9,MATCH(J136,Event_Rumor!$A$2:$A$9,0))&gt;ROW(),"Pre","Post")))</f>
        <v>Normal</v>
      </c>
      <c r="L136" s="11" t="str">
        <f t="array" ref="L136">IF(J136="-","-",INDEX(Event_Rumor!$E$2:$E$9,MATCH(J136,Event_Rumor!$A$2:$A$9,0)))</f>
        <v>-</v>
      </c>
    </row>
    <row r="137" spans="1:12" ht="15" customHeight="1" x14ac:dyDescent="0.3">
      <c r="A137" s="26">
        <v>45509</v>
      </c>
      <c r="B137" s="6">
        <v>16498</v>
      </c>
      <c r="C137" s="6">
        <v>16618</v>
      </c>
      <c r="D137" s="6">
        <v>15419</v>
      </c>
      <c r="E137" s="6">
        <v>16115</v>
      </c>
      <c r="F137" s="6">
        <v>651200</v>
      </c>
      <c r="G137" s="7">
        <f t="shared" ref="G137:H137" si="134">(E137-E136)/E136</f>
        <v>-1.1774084748880849E-2</v>
      </c>
      <c r="H137" s="7">
        <f t="shared" si="134"/>
        <v>2.3775933609958506</v>
      </c>
      <c r="I137" s="8">
        <f>IF(COUNTIF(Event_Rumor!$B$2:$B$9,A137)&gt;0,1,0)</f>
        <v>0</v>
      </c>
      <c r="J137" s="8" t="str">
        <f t="array" ref="J1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7" s="8" t="str">
        <f t="array" ref="K137">IF(I137=1,"Event",IF(J137="-","Normal",IF(INDEX(Event_Rumor!$G$2:$G$9,MATCH(J137,Event_Rumor!$A$2:$A$9,0))&gt;ROW(),"Pre","Post")))</f>
        <v>Normal</v>
      </c>
      <c r="L137" s="11" t="str">
        <f t="array" ref="L137">IF(J137="-","-",INDEX(Event_Rumor!$E$2:$E$9,MATCH(J137,Event_Rumor!$A$2:$A$9,0)))</f>
        <v>-</v>
      </c>
    </row>
    <row r="138" spans="1:12" ht="15" customHeight="1" x14ac:dyDescent="0.3">
      <c r="A138" s="26">
        <v>45510</v>
      </c>
      <c r="B138" s="6">
        <v>16091</v>
      </c>
      <c r="C138" s="6">
        <v>16211</v>
      </c>
      <c r="D138" s="6">
        <v>15947</v>
      </c>
      <c r="E138" s="6">
        <v>16187</v>
      </c>
      <c r="F138" s="6">
        <v>99400</v>
      </c>
      <c r="G138" s="7">
        <f t="shared" ref="G138:H138" si="135">(E138-E137)/E137</f>
        <v>4.4678870617437172E-3</v>
      </c>
      <c r="H138" s="7">
        <f t="shared" si="135"/>
        <v>-0.84735872235872234</v>
      </c>
      <c r="I138" s="8">
        <f>IF(COUNTIF(Event_Rumor!$B$2:$B$9,A138)&gt;0,1,0)</f>
        <v>0</v>
      </c>
      <c r="J138" s="8" t="str">
        <f t="array" ref="J1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8" s="8" t="str">
        <f t="array" ref="K138">IF(I138=1,"Event",IF(J138="-","Normal",IF(INDEX(Event_Rumor!$G$2:$G$9,MATCH(J138,Event_Rumor!$A$2:$A$9,0))&gt;ROW(),"Pre","Post")))</f>
        <v>Normal</v>
      </c>
      <c r="L138" s="11" t="str">
        <f t="array" ref="L138">IF(J138="-","-",INDEX(Event_Rumor!$E$2:$E$9,MATCH(J138,Event_Rumor!$A$2:$A$9,0)))</f>
        <v>-</v>
      </c>
    </row>
    <row r="139" spans="1:12" ht="15" customHeight="1" x14ac:dyDescent="0.3">
      <c r="A139" s="26">
        <v>45511</v>
      </c>
      <c r="B139" s="6">
        <v>16187</v>
      </c>
      <c r="C139" s="6">
        <v>16786</v>
      </c>
      <c r="D139" s="6">
        <v>16115</v>
      </c>
      <c r="E139" s="6">
        <v>16714</v>
      </c>
      <c r="F139" s="6">
        <v>249400</v>
      </c>
      <c r="G139" s="7">
        <f t="shared" ref="G139:H139" si="136">(E139-E138)/E138</f>
        <v>3.2556990177302771E-2</v>
      </c>
      <c r="H139" s="7">
        <f t="shared" si="136"/>
        <v>1.5090543259557343</v>
      </c>
      <c r="I139" s="8">
        <f>IF(COUNTIF(Event_Rumor!$B$2:$B$9,A139)&gt;0,1,0)</f>
        <v>0</v>
      </c>
      <c r="J139" s="8" t="str">
        <f t="array" ref="J1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39" s="8" t="str">
        <f t="array" ref="K139">IF(I139=1,"Event",IF(J139="-","Normal",IF(INDEX(Event_Rumor!$G$2:$G$9,MATCH(J139,Event_Rumor!$A$2:$A$9,0))&gt;ROW(),"Pre","Post")))</f>
        <v>Normal</v>
      </c>
      <c r="L139" s="11" t="str">
        <f t="array" ref="L139">IF(J139="-","-",INDEX(Event_Rumor!$E$2:$E$9,MATCH(J139,Event_Rumor!$A$2:$A$9,0)))</f>
        <v>-</v>
      </c>
    </row>
    <row r="140" spans="1:12" ht="15" customHeight="1" x14ac:dyDescent="0.3">
      <c r="A140" s="26">
        <v>45512</v>
      </c>
      <c r="B140" s="6">
        <v>16978</v>
      </c>
      <c r="C140" s="6">
        <v>16978</v>
      </c>
      <c r="D140" s="6">
        <v>16139</v>
      </c>
      <c r="E140" s="6">
        <v>16738</v>
      </c>
      <c r="F140" s="6">
        <v>352000</v>
      </c>
      <c r="G140" s="7">
        <f t="shared" ref="G140:H140" si="137">(E140-E139)/E139</f>
        <v>1.4359219815723346E-3</v>
      </c>
      <c r="H140" s="7">
        <f t="shared" si="137"/>
        <v>0.41138732959101842</v>
      </c>
      <c r="I140" s="8">
        <f>IF(COUNTIF(Event_Rumor!$B$2:$B$9,A140)&gt;0,1,0)</f>
        <v>0</v>
      </c>
      <c r="J140" s="8" t="str">
        <f t="array" ref="J1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0" s="8" t="str">
        <f t="array" ref="K140">IF(I140=1,"Event",IF(J140="-","Normal",IF(INDEX(Event_Rumor!$G$2:$G$9,MATCH(J140,Event_Rumor!$A$2:$A$9,0))&gt;ROW(),"Pre","Post")))</f>
        <v>Normal</v>
      </c>
      <c r="L140" s="11" t="str">
        <f t="array" ref="L140">IF(J140="-","-",INDEX(Event_Rumor!$E$2:$E$9,MATCH(J140,Event_Rumor!$A$2:$A$9,0)))</f>
        <v>-</v>
      </c>
    </row>
    <row r="141" spans="1:12" ht="15" customHeight="1" x14ac:dyDescent="0.3">
      <c r="A141" s="26">
        <v>45513</v>
      </c>
      <c r="B141" s="6">
        <v>16594</v>
      </c>
      <c r="C141" s="6">
        <v>16738</v>
      </c>
      <c r="D141" s="6">
        <v>16474</v>
      </c>
      <c r="E141" s="6">
        <v>16738</v>
      </c>
      <c r="F141" s="6">
        <v>98800</v>
      </c>
      <c r="G141" s="7">
        <f t="shared" ref="G141:H141" si="138">(E141-E140)/E140</f>
        <v>0</v>
      </c>
      <c r="H141" s="7">
        <f t="shared" si="138"/>
        <v>-0.71931818181818186</v>
      </c>
      <c r="I141" s="8">
        <f>IF(COUNTIF(Event_Rumor!$B$2:$B$9,A141)&gt;0,1,0)</f>
        <v>0</v>
      </c>
      <c r="J141" s="8" t="str">
        <f t="array" ref="J1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1" s="8" t="str">
        <f t="array" ref="K141">IF(I141=1,"Event",IF(J141="-","Normal",IF(INDEX(Event_Rumor!$G$2:$G$9,MATCH(J141,Event_Rumor!$A$2:$A$9,0))&gt;ROW(),"Pre","Post")))</f>
        <v>Normal</v>
      </c>
      <c r="L141" s="11" t="str">
        <f t="array" ref="L141">IF(J141="-","-",INDEX(Event_Rumor!$E$2:$E$9,MATCH(J141,Event_Rumor!$A$2:$A$9,0)))</f>
        <v>-</v>
      </c>
    </row>
    <row r="142" spans="1:12" ht="15" customHeight="1" x14ac:dyDescent="0.3">
      <c r="A142" s="26">
        <v>45516</v>
      </c>
      <c r="B142" s="6">
        <v>16594</v>
      </c>
      <c r="C142" s="6">
        <v>16594</v>
      </c>
      <c r="D142" s="6">
        <v>16307</v>
      </c>
      <c r="E142" s="6">
        <v>16498</v>
      </c>
      <c r="F142" s="6">
        <v>137600</v>
      </c>
      <c r="G142" s="7">
        <f t="shared" ref="G142:H142" si="139">(E142-E141)/E141</f>
        <v>-1.4338630660771897E-2</v>
      </c>
      <c r="H142" s="7">
        <f t="shared" si="139"/>
        <v>0.39271255060728744</v>
      </c>
      <c r="I142" s="8">
        <f>IF(COUNTIF(Event_Rumor!$B$2:$B$9,A142)&gt;0,1,0)</f>
        <v>0</v>
      </c>
      <c r="J142" s="8" t="str">
        <f t="array" ref="J1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2" s="8" t="str">
        <f t="array" ref="K142">IF(I142=1,"Event",IF(J142="-","Normal",IF(INDEX(Event_Rumor!$G$2:$G$9,MATCH(J142,Event_Rumor!$A$2:$A$9,0))&gt;ROW(),"Pre","Post")))</f>
        <v>Normal</v>
      </c>
      <c r="L142" s="11" t="str">
        <f t="array" ref="L142">IF(J142="-","-",INDEX(Event_Rumor!$E$2:$E$9,MATCH(J142,Event_Rumor!$A$2:$A$9,0)))</f>
        <v>-</v>
      </c>
    </row>
    <row r="143" spans="1:12" ht="15" customHeight="1" x14ac:dyDescent="0.3">
      <c r="A143" s="26">
        <v>45517</v>
      </c>
      <c r="B143" s="6">
        <v>16498</v>
      </c>
      <c r="C143" s="6">
        <v>16786</v>
      </c>
      <c r="D143" s="6">
        <v>16307</v>
      </c>
      <c r="E143" s="6">
        <v>16690</v>
      </c>
      <c r="F143" s="6">
        <v>281200</v>
      </c>
      <c r="G143" s="7">
        <f t="shared" ref="G143:H143" si="140">(E143-E142)/E142</f>
        <v>1.1637774275669779E-2</v>
      </c>
      <c r="H143" s="7">
        <f t="shared" si="140"/>
        <v>1.0436046511627908</v>
      </c>
      <c r="I143" s="8">
        <f>IF(COUNTIF(Event_Rumor!$B$2:$B$9,A143)&gt;0,1,0)</f>
        <v>0</v>
      </c>
      <c r="J143" s="8" t="str">
        <f t="array" ref="J1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3" s="8" t="str">
        <f t="array" ref="K143">IF(I143=1,"Event",IF(J143="-","Normal",IF(INDEX(Event_Rumor!$G$2:$G$9,MATCH(J143,Event_Rumor!$A$2:$A$9,0))&gt;ROW(),"Pre","Post")))</f>
        <v>Normal</v>
      </c>
      <c r="L143" s="11" t="str">
        <f t="array" ref="L143">IF(J143="-","-",INDEX(Event_Rumor!$E$2:$E$9,MATCH(J143,Event_Rumor!$A$2:$A$9,0)))</f>
        <v>-</v>
      </c>
    </row>
    <row r="144" spans="1:12" ht="15" customHeight="1" x14ac:dyDescent="0.3">
      <c r="A144" s="26">
        <v>45518</v>
      </c>
      <c r="B144" s="6">
        <v>16690</v>
      </c>
      <c r="C144" s="6">
        <v>16714</v>
      </c>
      <c r="D144" s="6">
        <v>16498</v>
      </c>
      <c r="E144" s="6">
        <v>16666</v>
      </c>
      <c r="F144" s="6">
        <v>121300</v>
      </c>
      <c r="G144" s="7">
        <f t="shared" ref="G144:H144" si="141">(E144-E143)/E143</f>
        <v>-1.4379868184541641E-3</v>
      </c>
      <c r="H144" s="7">
        <f t="shared" si="141"/>
        <v>-0.56863442389758179</v>
      </c>
      <c r="I144" s="8">
        <f>IF(COUNTIF(Event_Rumor!$B$2:$B$9,A144)&gt;0,1,0)</f>
        <v>0</v>
      </c>
      <c r="J144" s="8" t="str">
        <f t="array" ref="J1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4" s="8" t="str">
        <f t="array" ref="K144">IF(I144=1,"Event",IF(J144="-","Normal",IF(INDEX(Event_Rumor!$G$2:$G$9,MATCH(J144,Event_Rumor!$A$2:$A$9,0))&gt;ROW(),"Pre","Post")))</f>
        <v>Normal</v>
      </c>
      <c r="L144" s="11" t="str">
        <f t="array" ref="L144">IF(J144="-","-",INDEX(Event_Rumor!$E$2:$E$9,MATCH(J144,Event_Rumor!$A$2:$A$9,0)))</f>
        <v>-</v>
      </c>
    </row>
    <row r="145" spans="1:12" ht="15" customHeight="1" x14ac:dyDescent="0.3">
      <c r="A145" s="26">
        <v>45519</v>
      </c>
      <c r="B145" s="6">
        <v>16666</v>
      </c>
      <c r="C145" s="6">
        <v>16714</v>
      </c>
      <c r="D145" s="6">
        <v>16594</v>
      </c>
      <c r="E145" s="6">
        <v>16714</v>
      </c>
      <c r="F145" s="6">
        <v>126600</v>
      </c>
      <c r="G145" s="7">
        <f t="shared" ref="G145:H145" si="142">(E145-E144)/E144</f>
        <v>2.8801152046081845E-3</v>
      </c>
      <c r="H145" s="7">
        <f t="shared" si="142"/>
        <v>4.3693322341302555E-2</v>
      </c>
      <c r="I145" s="8">
        <f>IF(COUNTIF(Event_Rumor!$B$2:$B$9,A145)&gt;0,1,0)</f>
        <v>0</v>
      </c>
      <c r="J145" s="8" t="str">
        <f t="array" ref="J1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5" s="8" t="str">
        <f t="array" ref="K145">IF(I145=1,"Event",IF(J145="-","Normal",IF(INDEX(Event_Rumor!$G$2:$G$9,MATCH(J145,Event_Rumor!$A$2:$A$9,0))&gt;ROW(),"Pre","Post")))</f>
        <v>Normal</v>
      </c>
      <c r="L145" s="11" t="str">
        <f t="array" ref="L145">IF(J145="-","-",INDEX(Event_Rumor!$E$2:$E$9,MATCH(J145,Event_Rumor!$A$2:$A$9,0)))</f>
        <v>-</v>
      </c>
    </row>
    <row r="146" spans="1:12" ht="15" customHeight="1" x14ac:dyDescent="0.3">
      <c r="A146" s="26">
        <v>45520</v>
      </c>
      <c r="B146" s="6">
        <v>16786</v>
      </c>
      <c r="C146" s="6">
        <v>16786</v>
      </c>
      <c r="D146" s="6">
        <v>16307</v>
      </c>
      <c r="E146" s="6">
        <v>16331</v>
      </c>
      <c r="F146" s="6">
        <v>711000</v>
      </c>
      <c r="G146" s="7">
        <f t="shared" ref="G146:H146" si="143">(E146-E145)/E145</f>
        <v>-2.291492162259184E-2</v>
      </c>
      <c r="H146" s="7">
        <f t="shared" si="143"/>
        <v>4.6161137440758298</v>
      </c>
      <c r="I146" s="8">
        <f>IF(COUNTIF(Event_Rumor!$B$2:$B$9,A146)&gt;0,1,0)</f>
        <v>0</v>
      </c>
      <c r="J146" s="8" t="str">
        <f t="array" ref="J1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6" s="8" t="str">
        <f t="array" ref="K146">IF(I146=1,"Event",IF(J146="-","Normal",IF(INDEX(Event_Rumor!$G$2:$G$9,MATCH(J146,Event_Rumor!$A$2:$A$9,0))&gt;ROW(),"Pre","Post")))</f>
        <v>Normal</v>
      </c>
      <c r="L146" s="11" t="str">
        <f t="array" ref="L146">IF(J146="-","-",INDEX(Event_Rumor!$E$2:$E$9,MATCH(J146,Event_Rumor!$A$2:$A$9,0)))</f>
        <v>-</v>
      </c>
    </row>
    <row r="147" spans="1:12" ht="15" customHeight="1" x14ac:dyDescent="0.3">
      <c r="A147" s="26">
        <v>45523</v>
      </c>
      <c r="B147" s="6">
        <v>16331</v>
      </c>
      <c r="C147" s="6">
        <v>16402</v>
      </c>
      <c r="D147" s="6">
        <v>16163</v>
      </c>
      <c r="E147" s="6">
        <v>16379</v>
      </c>
      <c r="F147" s="6">
        <v>77400</v>
      </c>
      <c r="G147" s="7">
        <f t="shared" ref="G147:H147" si="144">(E147-E146)/E146</f>
        <v>2.9391953952605473E-3</v>
      </c>
      <c r="H147" s="7">
        <f t="shared" si="144"/>
        <v>-0.89113924050632909</v>
      </c>
      <c r="I147" s="8">
        <f>IF(COUNTIF(Event_Rumor!$B$2:$B$9,A147)&gt;0,1,0)</f>
        <v>0</v>
      </c>
      <c r="J147" s="8" t="str">
        <f t="array" ref="J1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7" s="8" t="str">
        <f t="array" ref="K147">IF(I147=1,"Event",IF(J147="-","Normal",IF(INDEX(Event_Rumor!$G$2:$G$9,MATCH(J147,Event_Rumor!$A$2:$A$9,0))&gt;ROW(),"Pre","Post")))</f>
        <v>Normal</v>
      </c>
      <c r="L147" s="11" t="str">
        <f t="array" ref="L147">IF(J147="-","-",INDEX(Event_Rumor!$E$2:$E$9,MATCH(J147,Event_Rumor!$A$2:$A$9,0)))</f>
        <v>-</v>
      </c>
    </row>
    <row r="148" spans="1:12" ht="15" customHeight="1" x14ac:dyDescent="0.3">
      <c r="A148" s="26">
        <v>45524</v>
      </c>
      <c r="B148" s="6">
        <v>16379</v>
      </c>
      <c r="C148" s="6">
        <v>16379</v>
      </c>
      <c r="D148" s="6">
        <v>16259</v>
      </c>
      <c r="E148" s="6">
        <v>16307</v>
      </c>
      <c r="F148" s="6">
        <v>225800</v>
      </c>
      <c r="G148" s="7">
        <f t="shared" ref="G148:H148" si="145">(E148-E147)/E147</f>
        <v>-4.3958727639050003E-3</v>
      </c>
      <c r="H148" s="7">
        <f t="shared" si="145"/>
        <v>1.9173126614987079</v>
      </c>
      <c r="I148" s="8">
        <f>IF(COUNTIF(Event_Rumor!$B$2:$B$9,A148)&gt;0,1,0)</f>
        <v>0</v>
      </c>
      <c r="J148" s="8" t="str">
        <f t="array" ref="J1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8" s="8" t="str">
        <f t="array" ref="K148">IF(I148=1,"Event",IF(J148="-","Normal",IF(INDEX(Event_Rumor!$G$2:$G$9,MATCH(J148,Event_Rumor!$A$2:$A$9,0))&gt;ROW(),"Pre","Post")))</f>
        <v>Normal</v>
      </c>
      <c r="L148" s="11" t="str">
        <f t="array" ref="L148">IF(J148="-","-",INDEX(Event_Rumor!$E$2:$E$9,MATCH(J148,Event_Rumor!$A$2:$A$9,0)))</f>
        <v>-</v>
      </c>
    </row>
    <row r="149" spans="1:12" ht="15" customHeight="1" x14ac:dyDescent="0.3">
      <c r="A149" s="26">
        <v>45525</v>
      </c>
      <c r="B149" s="6">
        <v>16307</v>
      </c>
      <c r="C149" s="6">
        <v>16450</v>
      </c>
      <c r="D149" s="6">
        <v>16283</v>
      </c>
      <c r="E149" s="6">
        <v>16283</v>
      </c>
      <c r="F149" s="6">
        <v>36600</v>
      </c>
      <c r="G149" s="7">
        <f t="shared" ref="G149:H149" si="146">(E149-E148)/E148</f>
        <v>-1.4717605936101061E-3</v>
      </c>
      <c r="H149" s="7">
        <f t="shared" si="146"/>
        <v>-0.83790965456155886</v>
      </c>
      <c r="I149" s="8">
        <f>IF(COUNTIF(Event_Rumor!$B$2:$B$9,A149)&gt;0,1,0)</f>
        <v>0</v>
      </c>
      <c r="J149" s="8" t="str">
        <f t="array" ref="J1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49" s="8" t="str">
        <f t="array" ref="K149">IF(I149=1,"Event",IF(J149="-","Normal",IF(INDEX(Event_Rumor!$G$2:$G$9,MATCH(J149,Event_Rumor!$A$2:$A$9,0))&gt;ROW(),"Pre","Post")))</f>
        <v>Normal</v>
      </c>
      <c r="L149" s="11" t="str">
        <f t="array" ref="L149">IF(J149="-","-",INDEX(Event_Rumor!$E$2:$E$9,MATCH(J149,Event_Rumor!$A$2:$A$9,0)))</f>
        <v>-</v>
      </c>
    </row>
    <row r="150" spans="1:12" ht="15" customHeight="1" x14ac:dyDescent="0.3">
      <c r="A150" s="26">
        <v>45526</v>
      </c>
      <c r="B150" s="6">
        <v>16426</v>
      </c>
      <c r="C150" s="6">
        <v>16426</v>
      </c>
      <c r="D150" s="6">
        <v>16187</v>
      </c>
      <c r="E150" s="6">
        <v>16307</v>
      </c>
      <c r="F150" s="6">
        <v>37300</v>
      </c>
      <c r="G150" s="7">
        <f t="shared" ref="G150:H150" si="147">(E150-E149)/E149</f>
        <v>1.4739298655038998E-3</v>
      </c>
      <c r="H150" s="7">
        <f t="shared" si="147"/>
        <v>1.912568306010929E-2</v>
      </c>
      <c r="I150" s="8">
        <f>IF(COUNTIF(Event_Rumor!$B$2:$B$9,A150)&gt;0,1,0)</f>
        <v>0</v>
      </c>
      <c r="J150" s="8" t="str">
        <f t="array" ref="J1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0" s="8" t="str">
        <f t="array" ref="K150">IF(I150=1,"Event",IF(J150="-","Normal",IF(INDEX(Event_Rumor!$G$2:$G$9,MATCH(J150,Event_Rumor!$A$2:$A$9,0))&gt;ROW(),"Pre","Post")))</f>
        <v>Pre</v>
      </c>
      <c r="L150" s="11">
        <f t="array" ref="L150">IF(J150="-","-",INDEX(Event_Rumor!$E$2:$E$9,MATCH(J150,Event_Rumor!$A$2:$A$9,0)))</f>
        <v>0</v>
      </c>
    </row>
    <row r="151" spans="1:12" ht="15" customHeight="1" x14ac:dyDescent="0.3">
      <c r="A151" s="26">
        <v>45527</v>
      </c>
      <c r="B151" s="6">
        <v>16307</v>
      </c>
      <c r="C151" s="6">
        <v>16331</v>
      </c>
      <c r="D151" s="6">
        <v>16163</v>
      </c>
      <c r="E151" s="6">
        <v>16187</v>
      </c>
      <c r="F151" s="6">
        <v>121900</v>
      </c>
      <c r="G151" s="7">
        <f t="shared" ref="G151:H151" si="148">(E151-E150)/E150</f>
        <v>-7.3588029680505306E-3</v>
      </c>
      <c r="H151" s="7">
        <f t="shared" si="148"/>
        <v>2.2680965147453085</v>
      </c>
      <c r="I151" s="8">
        <f>IF(COUNTIF(Event_Rumor!$B$2:$B$9,A151)&gt;0,1,0)</f>
        <v>0</v>
      </c>
      <c r="J151" s="8" t="str">
        <f t="array" ref="J1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1" s="8" t="str">
        <f t="array" ref="K151">IF(I151=1,"Event",IF(J151="-","Normal",IF(INDEX(Event_Rumor!$G$2:$G$9,MATCH(J151,Event_Rumor!$A$2:$A$9,0))&gt;ROW(),"Pre","Post")))</f>
        <v>Pre</v>
      </c>
      <c r="L151" s="11">
        <f t="array" ref="L151">IF(J151="-","-",INDEX(Event_Rumor!$E$2:$E$9,MATCH(J151,Event_Rumor!$A$2:$A$9,0)))</f>
        <v>0</v>
      </c>
    </row>
    <row r="152" spans="1:12" ht="15" customHeight="1" x14ac:dyDescent="0.3">
      <c r="A152" s="26">
        <v>45530</v>
      </c>
      <c r="B152" s="6">
        <v>16259</v>
      </c>
      <c r="C152" s="6">
        <v>16283</v>
      </c>
      <c r="D152" s="6">
        <v>15947</v>
      </c>
      <c r="E152" s="6">
        <v>16091</v>
      </c>
      <c r="F152" s="6">
        <v>240300</v>
      </c>
      <c r="G152" s="7">
        <f t="shared" ref="G152:H152" si="149">(E152-E151)/E151</f>
        <v>-5.9306851176870326E-3</v>
      </c>
      <c r="H152" s="7">
        <f t="shared" si="149"/>
        <v>0.97128794093519277</v>
      </c>
      <c r="I152" s="8">
        <f>IF(COUNTIF(Event_Rumor!$B$2:$B$9,A152)&gt;0,1,0)</f>
        <v>0</v>
      </c>
      <c r="J152" s="8" t="str">
        <f t="array" ref="J15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2" s="8" t="str">
        <f t="array" ref="K152">IF(I152=1,"Event",IF(J152="-","Normal",IF(INDEX(Event_Rumor!$G$2:$G$9,MATCH(J152,Event_Rumor!$A$2:$A$9,0))&gt;ROW(),"Pre","Post")))</f>
        <v>Pre</v>
      </c>
      <c r="L152" s="11">
        <f t="array" ref="L152">IF(J152="-","-",INDEX(Event_Rumor!$E$2:$E$9,MATCH(J152,Event_Rumor!$A$2:$A$9,0)))</f>
        <v>0</v>
      </c>
    </row>
    <row r="153" spans="1:12" ht="15" customHeight="1" x14ac:dyDescent="0.3">
      <c r="A153" s="26">
        <v>45531</v>
      </c>
      <c r="B153" s="6">
        <v>16091</v>
      </c>
      <c r="C153" s="6">
        <v>16187</v>
      </c>
      <c r="D153" s="6">
        <v>15947</v>
      </c>
      <c r="E153" s="6">
        <v>15971</v>
      </c>
      <c r="F153" s="6">
        <v>145000</v>
      </c>
      <c r="G153" s="7">
        <f t="shared" ref="G153:H153" si="150">(E153-E152)/E152</f>
        <v>-7.4575849853955626E-3</v>
      </c>
      <c r="H153" s="7">
        <f t="shared" si="150"/>
        <v>-0.39658759883478983</v>
      </c>
      <c r="I153" s="8">
        <f>IF(COUNTIF(Event_Rumor!$B$2:$B$9,A153)&gt;0,1,0)</f>
        <v>0</v>
      </c>
      <c r="J153" s="8" t="str">
        <f t="array" ref="J15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3" s="8" t="str">
        <f t="array" ref="K153">IF(I153=1,"Event",IF(J153="-","Normal",IF(INDEX(Event_Rumor!$G$2:$G$9,MATCH(J153,Event_Rumor!$A$2:$A$9,0))&gt;ROW(),"Pre","Post")))</f>
        <v>Pre</v>
      </c>
      <c r="L153" s="11">
        <f t="array" ref="L153">IF(J153="-","-",INDEX(Event_Rumor!$E$2:$E$9,MATCH(J153,Event_Rumor!$A$2:$A$9,0)))</f>
        <v>0</v>
      </c>
    </row>
    <row r="154" spans="1:12" ht="15" customHeight="1" x14ac:dyDescent="0.3">
      <c r="A154" s="26">
        <v>45532</v>
      </c>
      <c r="B154" s="6">
        <v>15971</v>
      </c>
      <c r="C154" s="6">
        <v>17074</v>
      </c>
      <c r="D154" s="6">
        <v>15971</v>
      </c>
      <c r="E154" s="6">
        <v>16522</v>
      </c>
      <c r="F154" s="6">
        <v>786500</v>
      </c>
      <c r="G154" s="7">
        <f t="shared" ref="G154:H154" si="151">(E154-E153)/E153</f>
        <v>3.4500031306743471E-2</v>
      </c>
      <c r="H154" s="7">
        <f t="shared" si="151"/>
        <v>4.4241379310344824</v>
      </c>
      <c r="I154" s="8">
        <f>IF(COUNTIF(Event_Rumor!$B$2:$B$9,A154)&gt;0,1,0)</f>
        <v>0</v>
      </c>
      <c r="J154" s="8" t="str">
        <f t="array" ref="J15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4" s="8" t="str">
        <f t="array" ref="K154">IF(I154=1,"Event",IF(J154="-","Normal",IF(INDEX(Event_Rumor!$G$2:$G$9,MATCH(J154,Event_Rumor!$A$2:$A$9,0))&gt;ROW(),"Pre","Post")))</f>
        <v>Pre</v>
      </c>
      <c r="L154" s="11">
        <f t="array" ref="L154">IF(J154="-","-",INDEX(Event_Rumor!$E$2:$E$9,MATCH(J154,Event_Rumor!$A$2:$A$9,0)))</f>
        <v>0</v>
      </c>
    </row>
    <row r="155" spans="1:12" ht="15" customHeight="1" x14ac:dyDescent="0.3">
      <c r="A155" s="26">
        <v>45533</v>
      </c>
      <c r="B155" s="6">
        <v>16522</v>
      </c>
      <c r="C155" s="6">
        <v>16522</v>
      </c>
      <c r="D155" s="6">
        <v>16043</v>
      </c>
      <c r="E155" s="6">
        <v>16187</v>
      </c>
      <c r="F155" s="6">
        <v>780300</v>
      </c>
      <c r="G155" s="7">
        <f t="shared" ref="G155:H155" si="152">(E155-E154)/E154</f>
        <v>-2.0275995642174072E-2</v>
      </c>
      <c r="H155" s="7">
        <f t="shared" si="152"/>
        <v>-7.8830260648442459E-3</v>
      </c>
      <c r="I155" s="8">
        <f>IF(COUNTIF(Event_Rumor!$B$2:$B$9,A155)&gt;0,1,0)</f>
        <v>1</v>
      </c>
      <c r="J155" s="8" t="str">
        <f t="array" ref="J15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5" s="8" t="str">
        <f t="array" ref="K155">IF(I155=1,"Event",IF(J155="-","Normal",IF(INDEX(Event_Rumor!$G$2:$G$9,MATCH(J155,Event_Rumor!$A$2:$A$9,0))&gt;ROW(),"Pre","Post")))</f>
        <v>Event</v>
      </c>
      <c r="L155" s="11">
        <f t="array" ref="L155">IF(J155="-","-",INDEX(Event_Rumor!$E$2:$E$9,MATCH(J155,Event_Rumor!$A$2:$A$9,0)))</f>
        <v>0</v>
      </c>
    </row>
    <row r="156" spans="1:12" ht="15" customHeight="1" x14ac:dyDescent="0.3">
      <c r="A156" s="26">
        <v>45534</v>
      </c>
      <c r="B156" s="6">
        <v>16211</v>
      </c>
      <c r="C156" s="6">
        <v>16402</v>
      </c>
      <c r="D156" s="6">
        <v>15731</v>
      </c>
      <c r="E156" s="6">
        <v>16019</v>
      </c>
      <c r="F156" s="6">
        <v>405900</v>
      </c>
      <c r="G156" s="7">
        <f t="shared" ref="G156:H156" si="153">(E156-E155)/E155</f>
        <v>-1.0378698955952307E-2</v>
      </c>
      <c r="H156" s="7">
        <f t="shared" si="153"/>
        <v>-0.47981545559400229</v>
      </c>
      <c r="I156" s="8">
        <f>IF(COUNTIF(Event_Rumor!$B$2:$B$9,A156)&gt;0,1,0)</f>
        <v>0</v>
      </c>
      <c r="J156" s="8" t="str">
        <f t="array" ref="J15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6" s="8" t="str">
        <f t="array" ref="K156">IF(I156=1,"Event",IF(J156="-","Normal",IF(INDEX(Event_Rumor!$G$2:$G$9,MATCH(J156,Event_Rumor!$A$2:$A$9,0))&gt;ROW(),"Pre","Post")))</f>
        <v>Post</v>
      </c>
      <c r="L156" s="11">
        <f t="array" ref="L156">IF(J156="-","-",INDEX(Event_Rumor!$E$2:$E$9,MATCH(J156,Event_Rumor!$A$2:$A$9,0)))</f>
        <v>0</v>
      </c>
    </row>
    <row r="157" spans="1:12" ht="15" customHeight="1" x14ac:dyDescent="0.3">
      <c r="A157" s="26">
        <v>45537</v>
      </c>
      <c r="B157" s="6">
        <v>16091</v>
      </c>
      <c r="C157" s="6">
        <v>16211</v>
      </c>
      <c r="D157" s="6">
        <v>16043</v>
      </c>
      <c r="E157" s="6">
        <v>16115</v>
      </c>
      <c r="F157" s="6">
        <v>211400</v>
      </c>
      <c r="G157" s="7">
        <f t="shared" ref="G157:H157" si="154">(E157-E156)/E156</f>
        <v>5.9928834509020536E-3</v>
      </c>
      <c r="H157" s="7">
        <f t="shared" si="154"/>
        <v>-0.47918206454791823</v>
      </c>
      <c r="I157" s="8">
        <f>IF(COUNTIF(Event_Rumor!$B$2:$B$9,A157)&gt;0,1,0)</f>
        <v>0</v>
      </c>
      <c r="J157" s="8" t="str">
        <f t="array" ref="J15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7" s="8" t="str">
        <f t="array" ref="K157">IF(I157=1,"Event",IF(J157="-","Normal",IF(INDEX(Event_Rumor!$G$2:$G$9,MATCH(J157,Event_Rumor!$A$2:$A$9,0))&gt;ROW(),"Pre","Post")))</f>
        <v>Post</v>
      </c>
      <c r="L157" s="11">
        <f t="array" ref="L157">IF(J157="-","-",INDEX(Event_Rumor!$E$2:$E$9,MATCH(J157,Event_Rumor!$A$2:$A$9,0)))</f>
        <v>0</v>
      </c>
    </row>
    <row r="158" spans="1:12" ht="15" customHeight="1" x14ac:dyDescent="0.3">
      <c r="A158" s="26">
        <v>45538</v>
      </c>
      <c r="B158" s="6">
        <v>16115</v>
      </c>
      <c r="C158" s="6">
        <v>16211</v>
      </c>
      <c r="D158" s="6">
        <v>15923</v>
      </c>
      <c r="E158" s="6">
        <v>15971</v>
      </c>
      <c r="F158" s="6">
        <v>162700</v>
      </c>
      <c r="G158" s="7">
        <f t="shared" ref="G158:H158" si="155">(E158-E157)/E157</f>
        <v>-8.9357741234874343E-3</v>
      </c>
      <c r="H158" s="7">
        <f t="shared" si="155"/>
        <v>-0.23036896877956481</v>
      </c>
      <c r="I158" s="8">
        <f>IF(COUNTIF(Event_Rumor!$B$2:$B$9,A158)&gt;0,1,0)</f>
        <v>0</v>
      </c>
      <c r="J158" s="8" t="str">
        <f t="array" ref="J15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8" s="8" t="str">
        <f t="array" ref="K158">IF(I158=1,"Event",IF(J158="-","Normal",IF(INDEX(Event_Rumor!$G$2:$G$9,MATCH(J158,Event_Rumor!$A$2:$A$9,0))&gt;ROW(),"Pre","Post")))</f>
        <v>Post</v>
      </c>
      <c r="L158" s="11">
        <f t="array" ref="L158">IF(J158="-","-",INDEX(Event_Rumor!$E$2:$E$9,MATCH(J158,Event_Rumor!$A$2:$A$9,0)))</f>
        <v>0</v>
      </c>
    </row>
    <row r="159" spans="1:12" ht="15" customHeight="1" x14ac:dyDescent="0.3">
      <c r="A159" s="26">
        <v>45539</v>
      </c>
      <c r="B159" s="6">
        <v>15971</v>
      </c>
      <c r="C159" s="6">
        <v>16115</v>
      </c>
      <c r="D159" s="6">
        <v>15827</v>
      </c>
      <c r="E159" s="6">
        <v>16091</v>
      </c>
      <c r="F159" s="6">
        <v>173400</v>
      </c>
      <c r="G159" s="7">
        <f t="shared" ref="G159:H159" si="156">(E159-E158)/E158</f>
        <v>7.5136184334105563E-3</v>
      </c>
      <c r="H159" s="7">
        <f t="shared" si="156"/>
        <v>6.5765212046711735E-2</v>
      </c>
      <c r="I159" s="8">
        <f>IF(COUNTIF(Event_Rumor!$B$2:$B$9,A159)&gt;0,1,0)</f>
        <v>0</v>
      </c>
      <c r="J159" s="8" t="str">
        <f t="array" ref="J15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59" s="8" t="str">
        <f t="array" ref="K159">IF(I159=1,"Event",IF(J159="-","Normal",IF(INDEX(Event_Rumor!$G$2:$G$9,MATCH(J159,Event_Rumor!$A$2:$A$9,0))&gt;ROW(),"Pre","Post")))</f>
        <v>Post</v>
      </c>
      <c r="L159" s="11">
        <f t="array" ref="L159">IF(J159="-","-",INDEX(Event_Rumor!$E$2:$E$9,MATCH(J159,Event_Rumor!$A$2:$A$9,0)))</f>
        <v>0</v>
      </c>
    </row>
    <row r="160" spans="1:12" ht="15" customHeight="1" x14ac:dyDescent="0.3">
      <c r="A160" s="26">
        <v>45540</v>
      </c>
      <c r="B160" s="6">
        <v>16067</v>
      </c>
      <c r="C160" s="6">
        <v>16091</v>
      </c>
      <c r="D160" s="6">
        <v>15923</v>
      </c>
      <c r="E160" s="6">
        <v>16091</v>
      </c>
      <c r="F160" s="6">
        <v>151300</v>
      </c>
      <c r="G160" s="7">
        <f t="shared" ref="G160:H160" si="157">(E160-E159)/E159</f>
        <v>0</v>
      </c>
      <c r="H160" s="7">
        <f t="shared" si="157"/>
        <v>-0.12745098039215685</v>
      </c>
      <c r="I160" s="8">
        <f>IF(COUNTIF(Event_Rumor!$B$2:$B$9,A160)&gt;0,1,0)</f>
        <v>0</v>
      </c>
      <c r="J160" s="8" t="str">
        <f t="array" ref="J16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E02</v>
      </c>
      <c r="K160" s="8" t="str">
        <f t="array" ref="K160">IF(I160=1,"Event",IF(J160="-","Normal",IF(INDEX(Event_Rumor!$G$2:$G$9,MATCH(J160,Event_Rumor!$A$2:$A$9,0))&gt;ROW(),"Pre","Post")))</f>
        <v>Post</v>
      </c>
      <c r="L160" s="11">
        <f t="array" ref="L160">IF(J160="-","-",INDEX(Event_Rumor!$E$2:$E$9,MATCH(J160,Event_Rumor!$A$2:$A$9,0)))</f>
        <v>0</v>
      </c>
    </row>
    <row r="161" spans="1:12" ht="15" customHeight="1" x14ac:dyDescent="0.3">
      <c r="A161" s="26">
        <v>45541</v>
      </c>
      <c r="B161" s="6">
        <v>16091</v>
      </c>
      <c r="C161" s="6">
        <v>16091</v>
      </c>
      <c r="D161" s="6">
        <v>15827</v>
      </c>
      <c r="E161" s="6">
        <v>16067</v>
      </c>
      <c r="F161" s="6">
        <v>219400</v>
      </c>
      <c r="G161" s="7">
        <f t="shared" ref="G161:H161" si="158">(E161-E160)/E160</f>
        <v>-1.4915169970791124E-3</v>
      </c>
      <c r="H161" s="7">
        <f t="shared" si="158"/>
        <v>0.45009914077990748</v>
      </c>
      <c r="I161" s="8">
        <f>IF(COUNTIF(Event_Rumor!$B$2:$B$9,A161)&gt;0,1,0)</f>
        <v>0</v>
      </c>
      <c r="J161" s="8" t="str">
        <f t="array" ref="J16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1" s="8" t="str">
        <f t="array" ref="K161">IF(I161=1,"Event",IF(J161="-","Normal",IF(INDEX(Event_Rumor!$G$2:$G$9,MATCH(J161,Event_Rumor!$A$2:$A$9,0))&gt;ROW(),"Pre","Post")))</f>
        <v>Normal</v>
      </c>
      <c r="L161" s="11" t="str">
        <f t="array" ref="L161">IF(J161="-","-",INDEX(Event_Rumor!$E$2:$E$9,MATCH(J161,Event_Rumor!$A$2:$A$9,0)))</f>
        <v>-</v>
      </c>
    </row>
    <row r="162" spans="1:12" ht="15" customHeight="1" x14ac:dyDescent="0.3">
      <c r="A162" s="26">
        <v>45544</v>
      </c>
      <c r="B162" s="6">
        <v>16067</v>
      </c>
      <c r="C162" s="6">
        <v>16067</v>
      </c>
      <c r="D162" s="6">
        <v>15323</v>
      </c>
      <c r="E162" s="6">
        <v>15875</v>
      </c>
      <c r="F162" s="6">
        <v>385500</v>
      </c>
      <c r="G162" s="7">
        <f t="shared" ref="G162:H162" si="159">(E162-E161)/E161</f>
        <v>-1.1949959544407793E-2</v>
      </c>
      <c r="H162" s="7">
        <f t="shared" si="159"/>
        <v>0.75706472196900643</v>
      </c>
      <c r="I162" s="8">
        <f>IF(COUNTIF(Event_Rumor!$B$2:$B$9,A162)&gt;0,1,0)</f>
        <v>0</v>
      </c>
      <c r="J162" s="8" t="str">
        <f t="array" ref="J16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2" s="8" t="str">
        <f t="array" ref="K162">IF(I162=1,"Event",IF(J162="-","Normal",IF(INDEX(Event_Rumor!$G$2:$G$9,MATCH(J162,Event_Rumor!$A$2:$A$9,0))&gt;ROW(),"Pre","Post")))</f>
        <v>Normal</v>
      </c>
      <c r="L162" s="11" t="str">
        <f t="array" ref="L162">IF(J162="-","-",INDEX(Event_Rumor!$E$2:$E$9,MATCH(J162,Event_Rumor!$A$2:$A$9,0)))</f>
        <v>-</v>
      </c>
    </row>
    <row r="163" spans="1:12" ht="15" customHeight="1" x14ac:dyDescent="0.3">
      <c r="A163" s="26">
        <v>45545</v>
      </c>
      <c r="B163" s="6">
        <v>15875</v>
      </c>
      <c r="C163" s="6">
        <v>15971</v>
      </c>
      <c r="D163" s="6">
        <v>15467</v>
      </c>
      <c r="E163" s="6">
        <v>15923</v>
      </c>
      <c r="F163" s="6">
        <v>419900</v>
      </c>
      <c r="G163" s="7">
        <f t="shared" ref="G163:H163" si="160">(E163-E162)/E162</f>
        <v>3.0236220472440946E-3</v>
      </c>
      <c r="H163" s="7">
        <f t="shared" si="160"/>
        <v>8.9234760051880677E-2</v>
      </c>
      <c r="I163" s="8">
        <f>IF(COUNTIF(Event_Rumor!$B$2:$B$9,A163)&gt;0,1,0)</f>
        <v>0</v>
      </c>
      <c r="J163" s="8" t="str">
        <f t="array" ref="J16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3" s="8" t="str">
        <f t="array" ref="K163">IF(I163=1,"Event",IF(J163="-","Normal",IF(INDEX(Event_Rumor!$G$2:$G$9,MATCH(J163,Event_Rumor!$A$2:$A$9,0))&gt;ROW(),"Pre","Post")))</f>
        <v>Normal</v>
      </c>
      <c r="L163" s="11" t="str">
        <f t="array" ref="L163">IF(J163="-","-",INDEX(Event_Rumor!$E$2:$E$9,MATCH(J163,Event_Rumor!$A$2:$A$9,0)))</f>
        <v>-</v>
      </c>
    </row>
    <row r="164" spans="1:12" ht="15" customHeight="1" x14ac:dyDescent="0.3">
      <c r="A164" s="26">
        <v>45546</v>
      </c>
      <c r="B164" s="6">
        <v>15803</v>
      </c>
      <c r="C164" s="6">
        <v>15923</v>
      </c>
      <c r="D164" s="6">
        <v>15731</v>
      </c>
      <c r="E164" s="6">
        <v>15827</v>
      </c>
      <c r="F164" s="6">
        <v>105500</v>
      </c>
      <c r="G164" s="7">
        <f t="shared" ref="G164:H164" si="161">(E164-E163)/E163</f>
        <v>-6.0290146329209319E-3</v>
      </c>
      <c r="H164" s="7">
        <f t="shared" si="161"/>
        <v>-0.74874970231007387</v>
      </c>
      <c r="I164" s="8">
        <f>IF(COUNTIF(Event_Rumor!$B$2:$B$9,A164)&gt;0,1,0)</f>
        <v>0</v>
      </c>
      <c r="J164" s="8" t="str">
        <f t="array" ref="J16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4" s="8" t="str">
        <f t="array" ref="K164">IF(I164=1,"Event",IF(J164="-","Normal",IF(INDEX(Event_Rumor!$G$2:$G$9,MATCH(J164,Event_Rumor!$A$2:$A$9,0))&gt;ROW(),"Pre","Post")))</f>
        <v>Normal</v>
      </c>
      <c r="L164" s="11" t="str">
        <f t="array" ref="L164">IF(J164="-","-",INDEX(Event_Rumor!$E$2:$E$9,MATCH(J164,Event_Rumor!$A$2:$A$9,0)))</f>
        <v>-</v>
      </c>
    </row>
    <row r="165" spans="1:12" ht="15" customHeight="1" x14ac:dyDescent="0.3">
      <c r="A165" s="26">
        <v>45547</v>
      </c>
      <c r="B165" s="6">
        <v>15827</v>
      </c>
      <c r="C165" s="6">
        <v>15923</v>
      </c>
      <c r="D165" s="6">
        <v>15731</v>
      </c>
      <c r="E165" s="6">
        <v>15899</v>
      </c>
      <c r="F165" s="6">
        <v>72700</v>
      </c>
      <c r="G165" s="7">
        <f t="shared" ref="G165:H165" si="162">(E165-E164)/E164</f>
        <v>4.5491880962911478E-3</v>
      </c>
      <c r="H165" s="7">
        <f t="shared" si="162"/>
        <v>-0.31090047393364928</v>
      </c>
      <c r="I165" s="8">
        <f>IF(COUNTIF(Event_Rumor!$B$2:$B$9,A165)&gt;0,1,0)</f>
        <v>0</v>
      </c>
      <c r="J165" s="8" t="str">
        <f t="array" ref="J16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5" s="8" t="str">
        <f t="array" ref="K165">IF(I165=1,"Event",IF(J165="-","Normal",IF(INDEX(Event_Rumor!$G$2:$G$9,MATCH(J165,Event_Rumor!$A$2:$A$9,0))&gt;ROW(),"Pre","Post")))</f>
        <v>Normal</v>
      </c>
      <c r="L165" s="11" t="str">
        <f t="array" ref="L165">IF(J165="-","-",INDEX(Event_Rumor!$E$2:$E$9,MATCH(J165,Event_Rumor!$A$2:$A$9,0)))</f>
        <v>-</v>
      </c>
    </row>
    <row r="166" spans="1:12" ht="15" customHeight="1" x14ac:dyDescent="0.3">
      <c r="A166" s="26">
        <v>45548</v>
      </c>
      <c r="B166" s="6">
        <v>15731</v>
      </c>
      <c r="C166" s="6">
        <v>15971</v>
      </c>
      <c r="D166" s="6">
        <v>15707</v>
      </c>
      <c r="E166" s="6">
        <v>15827</v>
      </c>
      <c r="F166" s="6">
        <v>118600</v>
      </c>
      <c r="G166" s="7">
        <f t="shared" ref="G166:H166" si="163">(E166-E165)/E165</f>
        <v>-4.5285867035662619E-3</v>
      </c>
      <c r="H166" s="7">
        <f t="shared" si="163"/>
        <v>0.63136176066024763</v>
      </c>
      <c r="I166" s="8">
        <f>IF(COUNTIF(Event_Rumor!$B$2:$B$9,A166)&gt;0,1,0)</f>
        <v>0</v>
      </c>
      <c r="J166" s="8" t="str">
        <f t="array" ref="J16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6" s="8" t="str">
        <f t="array" ref="K166">IF(I166=1,"Event",IF(J166="-","Normal",IF(INDEX(Event_Rumor!$G$2:$G$9,MATCH(J166,Event_Rumor!$A$2:$A$9,0))&gt;ROW(),"Pre","Post")))</f>
        <v>Normal</v>
      </c>
      <c r="L166" s="11" t="str">
        <f t="array" ref="L166">IF(J166="-","-",INDEX(Event_Rumor!$E$2:$E$9,MATCH(J166,Event_Rumor!$A$2:$A$9,0)))</f>
        <v>-</v>
      </c>
    </row>
    <row r="167" spans="1:12" ht="15" customHeight="1" x14ac:dyDescent="0.3">
      <c r="A167" s="26">
        <v>45552</v>
      </c>
      <c r="B167" s="6">
        <v>15827</v>
      </c>
      <c r="C167" s="6">
        <v>15851</v>
      </c>
      <c r="D167" s="6">
        <v>15779</v>
      </c>
      <c r="E167" s="6">
        <v>15851</v>
      </c>
      <c r="F167" s="6">
        <v>70900</v>
      </c>
      <c r="G167" s="7">
        <f t="shared" ref="G167:H167" si="164">(E167-E166)/E166</f>
        <v>1.5163960320970493E-3</v>
      </c>
      <c r="H167" s="7">
        <f t="shared" si="164"/>
        <v>-0.40219224283305227</v>
      </c>
      <c r="I167" s="8">
        <f>IF(COUNTIF(Event_Rumor!$B$2:$B$9,A167)&gt;0,1,0)</f>
        <v>0</v>
      </c>
      <c r="J167" s="8" t="str">
        <f t="array" ref="J16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7" s="8" t="str">
        <f t="array" ref="K167">IF(I167=1,"Event",IF(J167="-","Normal",IF(INDEX(Event_Rumor!$G$2:$G$9,MATCH(J167,Event_Rumor!$A$2:$A$9,0))&gt;ROW(),"Pre","Post")))</f>
        <v>Normal</v>
      </c>
      <c r="L167" s="11" t="str">
        <f t="array" ref="L167">IF(J167="-","-",INDEX(Event_Rumor!$E$2:$E$9,MATCH(J167,Event_Rumor!$A$2:$A$9,0)))</f>
        <v>-</v>
      </c>
    </row>
    <row r="168" spans="1:12" ht="15" customHeight="1" x14ac:dyDescent="0.3">
      <c r="A168" s="26">
        <v>45553</v>
      </c>
      <c r="B168" s="6">
        <v>15851</v>
      </c>
      <c r="C168" s="6">
        <v>15851</v>
      </c>
      <c r="D168" s="6">
        <v>15827</v>
      </c>
      <c r="E168" s="6">
        <v>15851</v>
      </c>
      <c r="F168" s="6">
        <v>110500</v>
      </c>
      <c r="G168" s="7">
        <f t="shared" ref="G168:H168" si="165">(E168-E167)/E167</f>
        <v>0</v>
      </c>
      <c r="H168" s="7">
        <f t="shared" si="165"/>
        <v>0.55853314527503528</v>
      </c>
      <c r="I168" s="8">
        <f>IF(COUNTIF(Event_Rumor!$B$2:$B$9,A168)&gt;0,1,0)</f>
        <v>0</v>
      </c>
      <c r="J168" s="8" t="str">
        <f t="array" ref="J16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8" s="8" t="str">
        <f t="array" ref="K168">IF(I168=1,"Event",IF(J168="-","Normal",IF(INDEX(Event_Rumor!$G$2:$G$9,MATCH(J168,Event_Rumor!$A$2:$A$9,0))&gt;ROW(),"Pre","Post")))</f>
        <v>Normal</v>
      </c>
      <c r="L168" s="11" t="str">
        <f t="array" ref="L168">IF(J168="-","-",INDEX(Event_Rumor!$E$2:$E$9,MATCH(J168,Event_Rumor!$A$2:$A$9,0)))</f>
        <v>-</v>
      </c>
    </row>
    <row r="169" spans="1:12" ht="15" customHeight="1" x14ac:dyDescent="0.3">
      <c r="A169" s="26">
        <v>45554</v>
      </c>
      <c r="B169" s="6">
        <v>15851</v>
      </c>
      <c r="C169" s="6">
        <v>15851</v>
      </c>
      <c r="D169" s="6">
        <v>15755</v>
      </c>
      <c r="E169" s="6">
        <v>15851</v>
      </c>
      <c r="F169" s="6">
        <v>97300</v>
      </c>
      <c r="G169" s="7">
        <f t="shared" ref="G169:H169" si="166">(E169-E168)/E168</f>
        <v>0</v>
      </c>
      <c r="H169" s="7">
        <f t="shared" si="166"/>
        <v>-0.11945701357466064</v>
      </c>
      <c r="I169" s="8">
        <f>IF(COUNTIF(Event_Rumor!$B$2:$B$9,A169)&gt;0,1,0)</f>
        <v>0</v>
      </c>
      <c r="J169" s="8" t="str">
        <f t="array" ref="J16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69" s="8" t="str">
        <f t="array" ref="K169">IF(I169=1,"Event",IF(J169="-","Normal",IF(INDEX(Event_Rumor!$G$2:$G$9,MATCH(J169,Event_Rumor!$A$2:$A$9,0))&gt;ROW(),"Pre","Post")))</f>
        <v>Normal</v>
      </c>
      <c r="L169" s="11" t="str">
        <f t="array" ref="L169">IF(J169="-","-",INDEX(Event_Rumor!$E$2:$E$9,MATCH(J169,Event_Rumor!$A$2:$A$9,0)))</f>
        <v>-</v>
      </c>
    </row>
    <row r="170" spans="1:12" ht="15" customHeight="1" x14ac:dyDescent="0.3">
      <c r="A170" s="26">
        <v>45555</v>
      </c>
      <c r="B170" s="6">
        <v>15851</v>
      </c>
      <c r="C170" s="6">
        <v>15995</v>
      </c>
      <c r="D170" s="6">
        <v>15707</v>
      </c>
      <c r="E170" s="6">
        <v>15875</v>
      </c>
      <c r="F170" s="6">
        <v>82700</v>
      </c>
      <c r="G170" s="7">
        <f t="shared" ref="G170:H170" si="167">(E170-E169)/E169</f>
        <v>1.5141000567787521E-3</v>
      </c>
      <c r="H170" s="7">
        <f t="shared" si="167"/>
        <v>-0.15005138746145941</v>
      </c>
      <c r="I170" s="8">
        <f>IF(COUNTIF(Event_Rumor!$B$2:$B$9,A170)&gt;0,1,0)</f>
        <v>0</v>
      </c>
      <c r="J170" s="8" t="str">
        <f t="array" ref="J17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0" s="8" t="str">
        <f t="array" ref="K170">IF(I170=1,"Event",IF(J170="-","Normal",IF(INDEX(Event_Rumor!$G$2:$G$9,MATCH(J170,Event_Rumor!$A$2:$A$9,0))&gt;ROW(),"Pre","Post")))</f>
        <v>Normal</v>
      </c>
      <c r="L170" s="11" t="str">
        <f t="array" ref="L170">IF(J170="-","-",INDEX(Event_Rumor!$E$2:$E$9,MATCH(J170,Event_Rumor!$A$2:$A$9,0)))</f>
        <v>-</v>
      </c>
    </row>
    <row r="171" spans="1:12" ht="15" customHeight="1" x14ac:dyDescent="0.3">
      <c r="A171" s="26">
        <v>45558</v>
      </c>
      <c r="B171" s="6">
        <v>15851</v>
      </c>
      <c r="C171" s="6">
        <v>15875</v>
      </c>
      <c r="D171" s="6">
        <v>15755</v>
      </c>
      <c r="E171" s="6">
        <v>15803</v>
      </c>
      <c r="F171" s="6">
        <v>36900</v>
      </c>
      <c r="G171" s="7">
        <f t="shared" ref="G171:H171" si="168">(E171-E170)/E170</f>
        <v>-4.5354330708661421E-3</v>
      </c>
      <c r="H171" s="7">
        <f t="shared" si="168"/>
        <v>-0.55380894800483671</v>
      </c>
      <c r="I171" s="8">
        <f>IF(COUNTIF(Event_Rumor!$B$2:$B$9,A171)&gt;0,1,0)</f>
        <v>0</v>
      </c>
      <c r="J171" s="8" t="str">
        <f t="array" ref="J17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1" s="8" t="str">
        <f t="array" ref="K171">IF(I171=1,"Event",IF(J171="-","Normal",IF(INDEX(Event_Rumor!$G$2:$G$9,MATCH(J171,Event_Rumor!$A$2:$A$9,0))&gt;ROW(),"Pre","Post")))</f>
        <v>Normal</v>
      </c>
      <c r="L171" s="11" t="str">
        <f t="array" ref="L171">IF(J171="-","-",INDEX(Event_Rumor!$E$2:$E$9,MATCH(J171,Event_Rumor!$A$2:$A$9,0)))</f>
        <v>-</v>
      </c>
    </row>
    <row r="172" spans="1:12" ht="15" customHeight="1" x14ac:dyDescent="0.3">
      <c r="A172" s="26">
        <v>45559</v>
      </c>
      <c r="B172" s="6">
        <v>15803</v>
      </c>
      <c r="C172" s="6">
        <v>15803</v>
      </c>
      <c r="D172" s="6">
        <v>15635</v>
      </c>
      <c r="E172" s="6">
        <v>15803</v>
      </c>
      <c r="F172" s="6">
        <v>178200</v>
      </c>
      <c r="G172" s="7">
        <f t="shared" ref="G172:H172" si="169">(E172-E171)/E171</f>
        <v>0</v>
      </c>
      <c r="H172" s="7">
        <f t="shared" si="169"/>
        <v>3.8292682926829267</v>
      </c>
      <c r="I172" s="8">
        <f>IF(COUNTIF(Event_Rumor!$B$2:$B$9,A172)&gt;0,1,0)</f>
        <v>0</v>
      </c>
      <c r="J172" s="8" t="str">
        <f t="array" ref="J17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2" s="8" t="str">
        <f t="array" ref="K172">IF(I172=1,"Event",IF(J172="-","Normal",IF(INDEX(Event_Rumor!$G$2:$G$9,MATCH(J172,Event_Rumor!$A$2:$A$9,0))&gt;ROW(),"Pre","Post")))</f>
        <v>Normal</v>
      </c>
      <c r="L172" s="11" t="str">
        <f t="array" ref="L172">IF(J172="-","-",INDEX(Event_Rumor!$E$2:$E$9,MATCH(J172,Event_Rumor!$A$2:$A$9,0)))</f>
        <v>-</v>
      </c>
    </row>
    <row r="173" spans="1:12" ht="15" customHeight="1" x14ac:dyDescent="0.3">
      <c r="A173" s="26">
        <v>45560</v>
      </c>
      <c r="B173" s="6">
        <v>15803</v>
      </c>
      <c r="C173" s="6">
        <v>16307</v>
      </c>
      <c r="D173" s="6">
        <v>15755</v>
      </c>
      <c r="E173" s="6">
        <v>15923</v>
      </c>
      <c r="F173" s="6">
        <v>220900</v>
      </c>
      <c r="G173" s="7">
        <f t="shared" ref="G173:H173" si="170">(E173-E172)/E172</f>
        <v>7.5934949060305007E-3</v>
      </c>
      <c r="H173" s="7">
        <f t="shared" si="170"/>
        <v>0.23961840628507294</v>
      </c>
      <c r="I173" s="8">
        <f>IF(COUNTIF(Event_Rumor!$B$2:$B$9,A173)&gt;0,1,0)</f>
        <v>0</v>
      </c>
      <c r="J173" s="8" t="str">
        <f t="array" ref="J17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3" s="8" t="str">
        <f t="array" ref="K173">IF(I173=1,"Event",IF(J173="-","Normal",IF(INDEX(Event_Rumor!$G$2:$G$9,MATCH(J173,Event_Rumor!$A$2:$A$9,0))&gt;ROW(),"Pre","Post")))</f>
        <v>Normal</v>
      </c>
      <c r="L173" s="11" t="str">
        <f t="array" ref="L173">IF(J173="-","-",INDEX(Event_Rumor!$E$2:$E$9,MATCH(J173,Event_Rumor!$A$2:$A$9,0)))</f>
        <v>-</v>
      </c>
    </row>
    <row r="174" spans="1:12" ht="15" customHeight="1" x14ac:dyDescent="0.3">
      <c r="A174" s="26">
        <v>45561</v>
      </c>
      <c r="B174" s="6">
        <v>15851</v>
      </c>
      <c r="C174" s="6">
        <v>15947</v>
      </c>
      <c r="D174" s="6">
        <v>15803</v>
      </c>
      <c r="E174" s="6">
        <v>15923</v>
      </c>
      <c r="F174" s="6">
        <v>95600</v>
      </c>
      <c r="G174" s="7">
        <f t="shared" ref="G174:H174" si="171">(E174-E173)/E173</f>
        <v>0</v>
      </c>
      <c r="H174" s="7">
        <f t="shared" si="171"/>
        <v>-0.5672249886826618</v>
      </c>
      <c r="I174" s="8">
        <f>IF(COUNTIF(Event_Rumor!$B$2:$B$9,A174)&gt;0,1,0)</f>
        <v>0</v>
      </c>
      <c r="J174" s="8" t="str">
        <f t="array" ref="J17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4" s="8" t="str">
        <f t="array" ref="K174">IF(I174=1,"Event",IF(J174="-","Normal",IF(INDEX(Event_Rumor!$G$2:$G$9,MATCH(J174,Event_Rumor!$A$2:$A$9,0))&gt;ROW(),"Pre","Post")))</f>
        <v>Normal</v>
      </c>
      <c r="L174" s="11" t="str">
        <f t="array" ref="L174">IF(J174="-","-",INDEX(Event_Rumor!$E$2:$E$9,MATCH(J174,Event_Rumor!$A$2:$A$9,0)))</f>
        <v>-</v>
      </c>
    </row>
    <row r="175" spans="1:12" ht="15" customHeight="1" x14ac:dyDescent="0.3">
      <c r="A175" s="26">
        <v>45562</v>
      </c>
      <c r="B175" s="6">
        <v>15971</v>
      </c>
      <c r="C175" s="6">
        <v>16690</v>
      </c>
      <c r="D175" s="6">
        <v>15947</v>
      </c>
      <c r="E175" s="6">
        <v>16522</v>
      </c>
      <c r="F175" s="6">
        <v>616200</v>
      </c>
      <c r="G175" s="7">
        <f t="shared" ref="G175:H175" si="172">(E175-E174)/E174</f>
        <v>3.7618539219996229E-2</v>
      </c>
      <c r="H175" s="7">
        <f t="shared" si="172"/>
        <v>5.4456066945606691</v>
      </c>
      <c r="I175" s="8">
        <f>IF(COUNTIF(Event_Rumor!$B$2:$B$9,A175)&gt;0,1,0)</f>
        <v>0</v>
      </c>
      <c r="J175" s="8" t="str">
        <f t="array" ref="J17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5" s="8" t="str">
        <f t="array" ref="K175">IF(I175=1,"Event",IF(J175="-","Normal",IF(INDEX(Event_Rumor!$G$2:$G$9,MATCH(J175,Event_Rumor!$A$2:$A$9,0))&gt;ROW(),"Pre","Post")))</f>
        <v>Normal</v>
      </c>
      <c r="L175" s="11" t="str">
        <f t="array" ref="L175">IF(J175="-","-",INDEX(Event_Rumor!$E$2:$E$9,MATCH(J175,Event_Rumor!$A$2:$A$9,0)))</f>
        <v>-</v>
      </c>
    </row>
    <row r="176" spans="1:12" ht="15" customHeight="1" x14ac:dyDescent="0.3">
      <c r="A176" s="26">
        <v>45565</v>
      </c>
      <c r="B176" s="6">
        <v>16522</v>
      </c>
      <c r="C176" s="6">
        <v>16690</v>
      </c>
      <c r="D176" s="6">
        <v>15635</v>
      </c>
      <c r="E176" s="6">
        <v>15635</v>
      </c>
      <c r="F176" s="6">
        <v>235000</v>
      </c>
      <c r="G176" s="7">
        <f t="shared" ref="G176:H176" si="173">(E176-E175)/E175</f>
        <v>-5.368599443166687E-2</v>
      </c>
      <c r="H176" s="7">
        <f t="shared" si="173"/>
        <v>-0.61863031483284647</v>
      </c>
      <c r="I176" s="8">
        <f>IF(COUNTIF(Event_Rumor!$B$2:$B$9,A176)&gt;0,1,0)</f>
        <v>0</v>
      </c>
      <c r="J176" s="8" t="str">
        <f t="array" ref="J17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6" s="8" t="str">
        <f t="array" ref="K176">IF(I176=1,"Event",IF(J176="-","Normal",IF(INDEX(Event_Rumor!$G$2:$G$9,MATCH(J176,Event_Rumor!$A$2:$A$9,0))&gt;ROW(),"Pre","Post")))</f>
        <v>Normal</v>
      </c>
      <c r="L176" s="11" t="str">
        <f t="array" ref="L176">IF(J176="-","-",INDEX(Event_Rumor!$E$2:$E$9,MATCH(J176,Event_Rumor!$A$2:$A$9,0)))</f>
        <v>-</v>
      </c>
    </row>
    <row r="177" spans="1:12" ht="15" customHeight="1" x14ac:dyDescent="0.3">
      <c r="A177" s="26">
        <v>45566</v>
      </c>
      <c r="B177" s="6">
        <v>15923</v>
      </c>
      <c r="C177" s="6">
        <v>16067</v>
      </c>
      <c r="D177" s="6">
        <v>15683</v>
      </c>
      <c r="E177" s="6">
        <v>15971</v>
      </c>
      <c r="F177" s="6">
        <v>120400</v>
      </c>
      <c r="G177" s="7">
        <f t="shared" ref="G177:H177" si="174">(E177-E176)/E176</f>
        <v>2.1490246242404861E-2</v>
      </c>
      <c r="H177" s="7">
        <f t="shared" si="174"/>
        <v>-0.48765957446808511</v>
      </c>
      <c r="I177" s="8">
        <f>IF(COUNTIF(Event_Rumor!$B$2:$B$9,A177)&gt;0,1,0)</f>
        <v>0</v>
      </c>
      <c r="J177" s="8" t="str">
        <f t="array" ref="J17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7" s="8" t="str">
        <f t="array" ref="K177">IF(I177=1,"Event",IF(J177="-","Normal",IF(INDEX(Event_Rumor!$G$2:$G$9,MATCH(J177,Event_Rumor!$A$2:$A$9,0))&gt;ROW(),"Pre","Post")))</f>
        <v>Normal</v>
      </c>
      <c r="L177" s="11" t="str">
        <f t="array" ref="L177">IF(J177="-","-",INDEX(Event_Rumor!$E$2:$E$9,MATCH(J177,Event_Rumor!$A$2:$A$9,0)))</f>
        <v>-</v>
      </c>
    </row>
    <row r="178" spans="1:12" ht="15" customHeight="1" x14ac:dyDescent="0.3">
      <c r="A178" s="26">
        <v>45567</v>
      </c>
      <c r="B178" s="6">
        <v>15995</v>
      </c>
      <c r="C178" s="6">
        <v>16331</v>
      </c>
      <c r="D178" s="6">
        <v>15827</v>
      </c>
      <c r="E178" s="6">
        <v>16235</v>
      </c>
      <c r="F178" s="6">
        <v>120600</v>
      </c>
      <c r="G178" s="7">
        <f t="shared" ref="G178:H178" si="175">(E178-E177)/E177</f>
        <v>1.6529960553503226E-2</v>
      </c>
      <c r="H178" s="7">
        <f t="shared" si="175"/>
        <v>1.6611295681063123E-3</v>
      </c>
      <c r="I178" s="8">
        <f>IF(COUNTIF(Event_Rumor!$B$2:$B$9,A178)&gt;0,1,0)</f>
        <v>0</v>
      </c>
      <c r="J178" s="8" t="str">
        <f t="array" ref="J17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8" s="8" t="str">
        <f t="array" ref="K178">IF(I178=1,"Event",IF(J178="-","Normal",IF(INDEX(Event_Rumor!$G$2:$G$9,MATCH(J178,Event_Rumor!$A$2:$A$9,0))&gt;ROW(),"Pre","Post")))</f>
        <v>Normal</v>
      </c>
      <c r="L178" s="11" t="str">
        <f t="array" ref="L178">IF(J178="-","-",INDEX(Event_Rumor!$E$2:$E$9,MATCH(J178,Event_Rumor!$A$2:$A$9,0)))</f>
        <v>-</v>
      </c>
    </row>
    <row r="179" spans="1:12" ht="15" customHeight="1" x14ac:dyDescent="0.3">
      <c r="A179" s="26">
        <v>45568</v>
      </c>
      <c r="B179" s="6">
        <v>16235</v>
      </c>
      <c r="C179" s="6">
        <v>16235</v>
      </c>
      <c r="D179" s="6">
        <v>15947</v>
      </c>
      <c r="E179" s="6">
        <v>16019</v>
      </c>
      <c r="F179" s="6">
        <v>18800</v>
      </c>
      <c r="G179" s="7">
        <f t="shared" ref="G179:H179" si="176">(E179-E178)/E178</f>
        <v>-1.3304588851247304E-2</v>
      </c>
      <c r="H179" s="7">
        <f t="shared" si="176"/>
        <v>-0.84411276948590386</v>
      </c>
      <c r="I179" s="8">
        <f>IF(COUNTIF(Event_Rumor!$B$2:$B$9,A179)&gt;0,1,0)</f>
        <v>0</v>
      </c>
      <c r="J179" s="8" t="str">
        <f t="array" ref="J17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79" s="8" t="str">
        <f t="array" ref="K179">IF(I179=1,"Event",IF(J179="-","Normal",IF(INDEX(Event_Rumor!$G$2:$G$9,MATCH(J179,Event_Rumor!$A$2:$A$9,0))&gt;ROW(),"Pre","Post")))</f>
        <v>Normal</v>
      </c>
      <c r="L179" s="11" t="str">
        <f t="array" ref="L179">IF(J179="-","-",INDEX(Event_Rumor!$E$2:$E$9,MATCH(J179,Event_Rumor!$A$2:$A$9,0)))</f>
        <v>-</v>
      </c>
    </row>
    <row r="180" spans="1:12" ht="15" customHeight="1" x14ac:dyDescent="0.3">
      <c r="A180" s="26">
        <v>45569</v>
      </c>
      <c r="B180" s="6">
        <v>16067</v>
      </c>
      <c r="C180" s="6">
        <v>16067</v>
      </c>
      <c r="D180" s="6">
        <v>15827</v>
      </c>
      <c r="E180" s="6">
        <v>15827</v>
      </c>
      <c r="F180" s="6">
        <v>34100</v>
      </c>
      <c r="G180" s="7">
        <f t="shared" ref="G180:H180" si="177">(E180-E179)/E179</f>
        <v>-1.1985766901804107E-2</v>
      </c>
      <c r="H180" s="7">
        <f t="shared" si="177"/>
        <v>0.81382978723404253</v>
      </c>
      <c r="I180" s="8">
        <f>IF(COUNTIF(Event_Rumor!$B$2:$B$9,A180)&gt;0,1,0)</f>
        <v>0</v>
      </c>
      <c r="J180" s="8" t="str">
        <f t="array" ref="J18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0" s="8" t="str">
        <f t="array" ref="K180">IF(I180=1,"Event",IF(J180="-","Normal",IF(INDEX(Event_Rumor!$G$2:$G$9,MATCH(J180,Event_Rumor!$A$2:$A$9,0))&gt;ROW(),"Pre","Post")))</f>
        <v>Normal</v>
      </c>
      <c r="L180" s="11" t="str">
        <f t="array" ref="L180">IF(J180="-","-",INDEX(Event_Rumor!$E$2:$E$9,MATCH(J180,Event_Rumor!$A$2:$A$9,0)))</f>
        <v>-</v>
      </c>
    </row>
    <row r="181" spans="1:12" ht="15" customHeight="1" x14ac:dyDescent="0.3">
      <c r="A181" s="26">
        <v>45572</v>
      </c>
      <c r="B181" s="6">
        <v>15923</v>
      </c>
      <c r="C181" s="6">
        <v>16115</v>
      </c>
      <c r="D181" s="6">
        <v>15779</v>
      </c>
      <c r="E181" s="6">
        <v>15899</v>
      </c>
      <c r="F181" s="6">
        <v>35400</v>
      </c>
      <c r="G181" s="7">
        <f t="shared" ref="G181:H181" si="178">(E181-E180)/E180</f>
        <v>4.5491880962911478E-3</v>
      </c>
      <c r="H181" s="7">
        <f t="shared" si="178"/>
        <v>3.8123167155425221E-2</v>
      </c>
      <c r="I181" s="8">
        <f>IF(COUNTIF(Event_Rumor!$B$2:$B$9,A181)&gt;0,1,0)</f>
        <v>0</v>
      </c>
      <c r="J181" s="8" t="str">
        <f t="array" ref="J18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1" s="8" t="str">
        <f t="array" ref="K181">IF(I181=1,"Event",IF(J181="-","Normal",IF(INDEX(Event_Rumor!$G$2:$G$9,MATCH(J181,Event_Rumor!$A$2:$A$9,0))&gt;ROW(),"Pre","Post")))</f>
        <v>Normal</v>
      </c>
      <c r="L181" s="11" t="str">
        <f t="array" ref="L181">IF(J181="-","-",INDEX(Event_Rumor!$E$2:$E$9,MATCH(J181,Event_Rumor!$A$2:$A$9,0)))</f>
        <v>-</v>
      </c>
    </row>
    <row r="182" spans="1:12" ht="15" customHeight="1" x14ac:dyDescent="0.3">
      <c r="A182" s="26">
        <v>45573</v>
      </c>
      <c r="B182" s="6">
        <v>15899</v>
      </c>
      <c r="C182" s="6">
        <v>15899</v>
      </c>
      <c r="D182" s="6">
        <v>15707</v>
      </c>
      <c r="E182" s="6">
        <v>15875</v>
      </c>
      <c r="F182" s="6">
        <v>52700</v>
      </c>
      <c r="G182" s="7">
        <f t="shared" ref="G182:H182" si="179">(E182-E181)/E181</f>
        <v>-1.509528901188754E-3</v>
      </c>
      <c r="H182" s="7">
        <f t="shared" si="179"/>
        <v>0.48870056497175141</v>
      </c>
      <c r="I182" s="8">
        <f>IF(COUNTIF(Event_Rumor!$B$2:$B$9,A182)&gt;0,1,0)</f>
        <v>0</v>
      </c>
      <c r="J182" s="8" t="str">
        <f t="array" ref="J18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2" s="8" t="str">
        <f t="array" ref="K182">IF(I182=1,"Event",IF(J182="-","Normal",IF(INDEX(Event_Rumor!$G$2:$G$9,MATCH(J182,Event_Rumor!$A$2:$A$9,0))&gt;ROW(),"Pre","Post")))</f>
        <v>Normal</v>
      </c>
      <c r="L182" s="11" t="str">
        <f t="array" ref="L182">IF(J182="-","-",INDEX(Event_Rumor!$E$2:$E$9,MATCH(J182,Event_Rumor!$A$2:$A$9,0)))</f>
        <v>-</v>
      </c>
    </row>
    <row r="183" spans="1:12" ht="15" customHeight="1" x14ac:dyDescent="0.3">
      <c r="A183" s="26">
        <v>45574</v>
      </c>
      <c r="B183" s="6">
        <v>15875</v>
      </c>
      <c r="C183" s="6">
        <v>15875</v>
      </c>
      <c r="D183" s="6">
        <v>15707</v>
      </c>
      <c r="E183" s="6">
        <v>15779</v>
      </c>
      <c r="F183" s="6">
        <v>61500</v>
      </c>
      <c r="G183" s="7">
        <f t="shared" ref="G183:H183" si="180">(E183-E182)/E182</f>
        <v>-6.0472440944881892E-3</v>
      </c>
      <c r="H183" s="7">
        <f t="shared" si="180"/>
        <v>0.16698292220113853</v>
      </c>
      <c r="I183" s="8">
        <f>IF(COUNTIF(Event_Rumor!$B$2:$B$9,A183)&gt;0,1,0)</f>
        <v>0</v>
      </c>
      <c r="J183" s="8" t="str">
        <f t="array" ref="J18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3" s="8" t="str">
        <f t="array" ref="K183">IF(I183=1,"Event",IF(J183="-","Normal",IF(INDEX(Event_Rumor!$G$2:$G$9,MATCH(J183,Event_Rumor!$A$2:$A$9,0))&gt;ROW(),"Pre","Post")))</f>
        <v>Normal</v>
      </c>
      <c r="L183" s="11" t="str">
        <f t="array" ref="L183">IF(J183="-","-",INDEX(Event_Rumor!$E$2:$E$9,MATCH(J183,Event_Rumor!$A$2:$A$9,0)))</f>
        <v>-</v>
      </c>
    </row>
    <row r="184" spans="1:12" ht="15" customHeight="1" x14ac:dyDescent="0.3">
      <c r="A184" s="26">
        <v>45575</v>
      </c>
      <c r="B184" s="6">
        <v>15779</v>
      </c>
      <c r="C184" s="6">
        <v>15779</v>
      </c>
      <c r="D184" s="6">
        <v>15659</v>
      </c>
      <c r="E184" s="6">
        <v>15779</v>
      </c>
      <c r="F184" s="6">
        <v>26900</v>
      </c>
      <c r="G184" s="7">
        <f t="shared" ref="G184:H184" si="181">(E184-E183)/E183</f>
        <v>0</v>
      </c>
      <c r="H184" s="7">
        <f t="shared" si="181"/>
        <v>-0.56260162601626018</v>
      </c>
      <c r="I184" s="8">
        <f>IF(COUNTIF(Event_Rumor!$B$2:$B$9,A184)&gt;0,1,0)</f>
        <v>0</v>
      </c>
      <c r="J184" s="8" t="str">
        <f t="array" ref="J18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4" s="8" t="str">
        <f t="array" ref="K184">IF(I184=1,"Event",IF(J184="-","Normal",IF(INDEX(Event_Rumor!$G$2:$G$9,MATCH(J184,Event_Rumor!$A$2:$A$9,0))&gt;ROW(),"Pre","Post")))</f>
        <v>Normal</v>
      </c>
      <c r="L184" s="11" t="str">
        <f t="array" ref="L184">IF(J184="-","-",INDEX(Event_Rumor!$E$2:$E$9,MATCH(J184,Event_Rumor!$A$2:$A$9,0)))</f>
        <v>-</v>
      </c>
    </row>
    <row r="185" spans="1:12" ht="15" customHeight="1" x14ac:dyDescent="0.3">
      <c r="A185" s="26">
        <v>45576</v>
      </c>
      <c r="B185" s="6">
        <v>15779</v>
      </c>
      <c r="C185" s="6">
        <v>16307</v>
      </c>
      <c r="D185" s="6">
        <v>15683</v>
      </c>
      <c r="E185" s="6">
        <v>16019</v>
      </c>
      <c r="F185" s="6">
        <v>80300</v>
      </c>
      <c r="G185" s="7">
        <f t="shared" ref="G185:H185" si="182">(E185-E184)/E184</f>
        <v>1.5210089359274986E-2</v>
      </c>
      <c r="H185" s="7">
        <f t="shared" si="182"/>
        <v>1.9851301115241635</v>
      </c>
      <c r="I185" s="8">
        <f>IF(COUNTIF(Event_Rumor!$B$2:$B$9,A185)&gt;0,1,0)</f>
        <v>0</v>
      </c>
      <c r="J185" s="8" t="str">
        <f t="array" ref="J18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5" s="8" t="str">
        <f t="array" ref="K185">IF(I185=1,"Event",IF(J185="-","Normal",IF(INDEX(Event_Rumor!$G$2:$G$9,MATCH(J185,Event_Rumor!$A$2:$A$9,0))&gt;ROW(),"Pre","Post")))</f>
        <v>Normal</v>
      </c>
      <c r="L185" s="11" t="str">
        <f t="array" ref="L185">IF(J185="-","-",INDEX(Event_Rumor!$E$2:$E$9,MATCH(J185,Event_Rumor!$A$2:$A$9,0)))</f>
        <v>-</v>
      </c>
    </row>
    <row r="186" spans="1:12" ht="15" customHeight="1" x14ac:dyDescent="0.3">
      <c r="A186" s="26">
        <v>45579</v>
      </c>
      <c r="B186" s="6">
        <v>15995</v>
      </c>
      <c r="C186" s="6">
        <v>16043</v>
      </c>
      <c r="D186" s="6">
        <v>15923</v>
      </c>
      <c r="E186" s="6">
        <v>16043</v>
      </c>
      <c r="F186" s="6">
        <v>63500</v>
      </c>
      <c r="G186" s="7">
        <f t="shared" ref="G186:H186" si="183">(E186-E185)/E185</f>
        <v>1.4982208627255134E-3</v>
      </c>
      <c r="H186" s="7">
        <f t="shared" si="183"/>
        <v>-0.20921544209215442</v>
      </c>
      <c r="I186" s="8">
        <f>IF(COUNTIF(Event_Rumor!$B$2:$B$9,A186)&gt;0,1,0)</f>
        <v>0</v>
      </c>
      <c r="J186" s="8" t="str">
        <f t="array" ref="J18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6" s="8" t="str">
        <f t="array" ref="K186">IF(I186=1,"Event",IF(J186="-","Normal",IF(INDEX(Event_Rumor!$G$2:$G$9,MATCH(J186,Event_Rumor!$A$2:$A$9,0))&gt;ROW(),"Pre","Post")))</f>
        <v>Normal</v>
      </c>
      <c r="L186" s="11" t="str">
        <f t="array" ref="L186">IF(J186="-","-",INDEX(Event_Rumor!$E$2:$E$9,MATCH(J186,Event_Rumor!$A$2:$A$9,0)))</f>
        <v>-</v>
      </c>
    </row>
    <row r="187" spans="1:12" ht="15" customHeight="1" x14ac:dyDescent="0.3">
      <c r="A187" s="26">
        <v>45580</v>
      </c>
      <c r="B187" s="6">
        <v>16211</v>
      </c>
      <c r="C187" s="6">
        <v>16235</v>
      </c>
      <c r="D187" s="6">
        <v>16115</v>
      </c>
      <c r="E187" s="6">
        <v>16163</v>
      </c>
      <c r="F187" s="6">
        <v>82800</v>
      </c>
      <c r="G187" s="7">
        <f t="shared" ref="G187:H187" si="184">(E187-E186)/E186</f>
        <v>7.4798977747304119E-3</v>
      </c>
      <c r="H187" s="7">
        <f t="shared" si="184"/>
        <v>0.30393700787401573</v>
      </c>
      <c r="I187" s="8">
        <f>IF(COUNTIF(Event_Rumor!$B$2:$B$9,A187)&gt;0,1,0)</f>
        <v>0</v>
      </c>
      <c r="J187" s="8" t="str">
        <f t="array" ref="J18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7" s="8" t="str">
        <f t="array" ref="K187">IF(I187=1,"Event",IF(J187="-","Normal",IF(INDEX(Event_Rumor!$G$2:$G$9,MATCH(J187,Event_Rumor!$A$2:$A$9,0))&gt;ROW(),"Pre","Post")))</f>
        <v>Normal</v>
      </c>
      <c r="L187" s="11" t="str">
        <f t="array" ref="L187">IF(J187="-","-",INDEX(Event_Rumor!$E$2:$E$9,MATCH(J187,Event_Rumor!$A$2:$A$9,0)))</f>
        <v>-</v>
      </c>
    </row>
    <row r="188" spans="1:12" ht="15" customHeight="1" x14ac:dyDescent="0.3">
      <c r="A188" s="26">
        <v>45581</v>
      </c>
      <c r="B188" s="6">
        <v>16235</v>
      </c>
      <c r="C188" s="6">
        <v>16259</v>
      </c>
      <c r="D188" s="6">
        <v>16163</v>
      </c>
      <c r="E188" s="6">
        <v>16235</v>
      </c>
      <c r="F188" s="6">
        <v>42500</v>
      </c>
      <c r="G188" s="7">
        <f t="shared" ref="G188:H188" si="185">(E188-E187)/E187</f>
        <v>4.4546185732846624E-3</v>
      </c>
      <c r="H188" s="7">
        <f t="shared" si="185"/>
        <v>-0.48671497584541062</v>
      </c>
      <c r="I188" s="8">
        <f>IF(COUNTIF(Event_Rumor!$B$2:$B$9,A188)&gt;0,1,0)</f>
        <v>0</v>
      </c>
      <c r="J188" s="8" t="str">
        <f t="array" ref="J18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8" s="8" t="str">
        <f t="array" ref="K188">IF(I188=1,"Event",IF(J188="-","Normal",IF(INDEX(Event_Rumor!$G$2:$G$9,MATCH(J188,Event_Rumor!$A$2:$A$9,0))&gt;ROW(),"Pre","Post")))</f>
        <v>Normal</v>
      </c>
      <c r="L188" s="11" t="str">
        <f t="array" ref="L188">IF(J188="-","-",INDEX(Event_Rumor!$E$2:$E$9,MATCH(J188,Event_Rumor!$A$2:$A$9,0)))</f>
        <v>-</v>
      </c>
    </row>
    <row r="189" spans="1:12" ht="15" customHeight="1" x14ac:dyDescent="0.3">
      <c r="A189" s="26">
        <v>45582</v>
      </c>
      <c r="B189" s="6">
        <v>16211</v>
      </c>
      <c r="C189" s="6">
        <v>16426</v>
      </c>
      <c r="D189" s="6">
        <v>16115</v>
      </c>
      <c r="E189" s="6">
        <v>16426</v>
      </c>
      <c r="F189" s="6">
        <v>180100</v>
      </c>
      <c r="G189" s="7">
        <f t="shared" ref="G189:H189" si="186">(E189-E188)/E188</f>
        <v>1.1764705882352941E-2</v>
      </c>
      <c r="H189" s="7">
        <f t="shared" si="186"/>
        <v>3.2376470588235295</v>
      </c>
      <c r="I189" s="8">
        <f>IF(COUNTIF(Event_Rumor!$B$2:$B$9,A189)&gt;0,1,0)</f>
        <v>0</v>
      </c>
      <c r="J189" s="8" t="str">
        <f t="array" ref="J18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89" s="8" t="str">
        <f t="array" ref="K189">IF(I189=1,"Event",IF(J189="-","Normal",IF(INDEX(Event_Rumor!$G$2:$G$9,MATCH(J189,Event_Rumor!$A$2:$A$9,0))&gt;ROW(),"Pre","Post")))</f>
        <v>Normal</v>
      </c>
      <c r="L189" s="11" t="str">
        <f t="array" ref="L189">IF(J189="-","-",INDEX(Event_Rumor!$E$2:$E$9,MATCH(J189,Event_Rumor!$A$2:$A$9,0)))</f>
        <v>-</v>
      </c>
    </row>
    <row r="190" spans="1:12" ht="15" customHeight="1" x14ac:dyDescent="0.3">
      <c r="A190" s="26">
        <v>45583</v>
      </c>
      <c r="B190" s="6">
        <v>16426</v>
      </c>
      <c r="C190" s="6">
        <v>16474</v>
      </c>
      <c r="D190" s="6">
        <v>16283</v>
      </c>
      <c r="E190" s="6">
        <v>16474</v>
      </c>
      <c r="F190" s="6">
        <v>66000</v>
      </c>
      <c r="G190" s="7">
        <f t="shared" ref="G190:H190" si="187">(E190-E189)/E189</f>
        <v>2.9221965177158166E-3</v>
      </c>
      <c r="H190" s="7">
        <f t="shared" si="187"/>
        <v>-0.63353692393114935</v>
      </c>
      <c r="I190" s="8">
        <f>IF(COUNTIF(Event_Rumor!$B$2:$B$9,A190)&gt;0,1,0)</f>
        <v>0</v>
      </c>
      <c r="J190" s="8" t="str">
        <f t="array" ref="J19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0" s="8" t="str">
        <f t="array" ref="K190">IF(I190=1,"Event",IF(J190="-","Normal",IF(INDEX(Event_Rumor!$G$2:$G$9,MATCH(J190,Event_Rumor!$A$2:$A$9,0))&gt;ROW(),"Pre","Post")))</f>
        <v>Normal</v>
      </c>
      <c r="L190" s="11" t="str">
        <f t="array" ref="L190">IF(J190="-","-",INDEX(Event_Rumor!$E$2:$E$9,MATCH(J190,Event_Rumor!$A$2:$A$9,0)))</f>
        <v>-</v>
      </c>
    </row>
    <row r="191" spans="1:12" ht="15" customHeight="1" x14ac:dyDescent="0.3">
      <c r="A191" s="26">
        <v>45586</v>
      </c>
      <c r="B191" s="6">
        <v>16474</v>
      </c>
      <c r="C191" s="6">
        <v>16498</v>
      </c>
      <c r="D191" s="6">
        <v>16283</v>
      </c>
      <c r="E191" s="6">
        <v>16474</v>
      </c>
      <c r="F191" s="6">
        <v>78900</v>
      </c>
      <c r="G191" s="7">
        <f t="shared" ref="G191:H191" si="188">(E191-E190)/E190</f>
        <v>0</v>
      </c>
      <c r="H191" s="7">
        <f t="shared" si="188"/>
        <v>0.19545454545454546</v>
      </c>
      <c r="I191" s="8">
        <f>IF(COUNTIF(Event_Rumor!$B$2:$B$9,A191)&gt;0,1,0)</f>
        <v>0</v>
      </c>
      <c r="J191" s="8" t="str">
        <f t="array" ref="J19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1" s="8" t="str">
        <f t="array" ref="K191">IF(I191=1,"Event",IF(J191="-","Normal",IF(INDEX(Event_Rumor!$G$2:$G$9,MATCH(J191,Event_Rumor!$A$2:$A$9,0))&gt;ROW(),"Pre","Post")))</f>
        <v>Normal</v>
      </c>
      <c r="L191" s="11" t="str">
        <f t="array" ref="L191">IF(J191="-","-",INDEX(Event_Rumor!$E$2:$E$9,MATCH(J191,Event_Rumor!$A$2:$A$9,0)))</f>
        <v>-</v>
      </c>
    </row>
    <row r="192" spans="1:12" ht="15" customHeight="1" x14ac:dyDescent="0.3">
      <c r="A192" s="26">
        <v>45587</v>
      </c>
      <c r="B192" s="6">
        <v>16474</v>
      </c>
      <c r="C192" s="6">
        <v>16498</v>
      </c>
      <c r="D192" s="6">
        <v>16283</v>
      </c>
      <c r="E192" s="6">
        <v>16498</v>
      </c>
      <c r="F192" s="6">
        <v>59400</v>
      </c>
      <c r="G192" s="7">
        <f t="shared" ref="G192:H192" si="189">(E192-E191)/E191</f>
        <v>1.4568410829185383E-3</v>
      </c>
      <c r="H192" s="7">
        <f t="shared" si="189"/>
        <v>-0.24714828897338403</v>
      </c>
      <c r="I192" s="8">
        <f>IF(COUNTIF(Event_Rumor!$B$2:$B$9,A192)&gt;0,1,0)</f>
        <v>0</v>
      </c>
      <c r="J192" s="8" t="str">
        <f t="array" ref="J19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2" s="8" t="str">
        <f t="array" ref="K192">IF(I192=1,"Event",IF(J192="-","Normal",IF(INDEX(Event_Rumor!$G$2:$G$9,MATCH(J192,Event_Rumor!$A$2:$A$9,0))&gt;ROW(),"Pre","Post")))</f>
        <v>Normal</v>
      </c>
      <c r="L192" s="11" t="str">
        <f t="array" ref="L192">IF(J192="-","-",INDEX(Event_Rumor!$E$2:$E$9,MATCH(J192,Event_Rumor!$A$2:$A$9,0)))</f>
        <v>-</v>
      </c>
    </row>
    <row r="193" spans="1:12" ht="15" customHeight="1" x14ac:dyDescent="0.3">
      <c r="A193" s="26">
        <v>45588</v>
      </c>
      <c r="B193" s="6">
        <v>16498</v>
      </c>
      <c r="C193" s="6">
        <v>16522</v>
      </c>
      <c r="D193" s="6">
        <v>16331</v>
      </c>
      <c r="E193" s="6">
        <v>16426</v>
      </c>
      <c r="F193" s="6">
        <v>72600</v>
      </c>
      <c r="G193" s="7">
        <f t="shared" ref="G193:H193" si="190">(E193-E192)/E192</f>
        <v>-4.3641653533761666E-3</v>
      </c>
      <c r="H193" s="7">
        <f t="shared" si="190"/>
        <v>0.22222222222222221</v>
      </c>
      <c r="I193" s="8">
        <f>IF(COUNTIF(Event_Rumor!$B$2:$B$9,A193)&gt;0,1,0)</f>
        <v>0</v>
      </c>
      <c r="J193" s="8" t="str">
        <f t="array" ref="J19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3" s="8" t="str">
        <f t="array" ref="K193">IF(I193=1,"Event",IF(J193="-","Normal",IF(INDEX(Event_Rumor!$G$2:$G$9,MATCH(J193,Event_Rumor!$A$2:$A$9,0))&gt;ROW(),"Pre","Post")))</f>
        <v>Normal</v>
      </c>
      <c r="L193" s="11" t="str">
        <f t="array" ref="L193">IF(J193="-","-",INDEX(Event_Rumor!$E$2:$E$9,MATCH(J193,Event_Rumor!$A$2:$A$9,0)))</f>
        <v>-</v>
      </c>
    </row>
    <row r="194" spans="1:12" ht="15" customHeight="1" x14ac:dyDescent="0.3">
      <c r="A194" s="26">
        <v>45589</v>
      </c>
      <c r="B194" s="6">
        <v>16426</v>
      </c>
      <c r="C194" s="6">
        <v>16498</v>
      </c>
      <c r="D194" s="6">
        <v>16402</v>
      </c>
      <c r="E194" s="6">
        <v>16474</v>
      </c>
      <c r="F194" s="6">
        <v>74600</v>
      </c>
      <c r="G194" s="7">
        <f t="shared" ref="G194:H194" si="191">(E194-E193)/E193</f>
        <v>2.9221965177158166E-3</v>
      </c>
      <c r="H194" s="7">
        <f t="shared" si="191"/>
        <v>2.7548209366391185E-2</v>
      </c>
      <c r="I194" s="8">
        <f>IF(COUNTIF(Event_Rumor!$B$2:$B$9,A194)&gt;0,1,0)</f>
        <v>0</v>
      </c>
      <c r="J194" s="8" t="str">
        <f t="array" ref="J19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4" s="8" t="str">
        <f t="array" ref="K194">IF(I194=1,"Event",IF(J194="-","Normal",IF(INDEX(Event_Rumor!$G$2:$G$9,MATCH(J194,Event_Rumor!$A$2:$A$9,0))&gt;ROW(),"Pre","Post")))</f>
        <v>Normal</v>
      </c>
      <c r="L194" s="11" t="str">
        <f t="array" ref="L194">IF(J194="-","-",INDEX(Event_Rumor!$E$2:$E$9,MATCH(J194,Event_Rumor!$A$2:$A$9,0)))</f>
        <v>-</v>
      </c>
    </row>
    <row r="195" spans="1:12" ht="15" customHeight="1" x14ac:dyDescent="0.3">
      <c r="A195" s="26">
        <v>45590</v>
      </c>
      <c r="B195" s="6">
        <v>16474</v>
      </c>
      <c r="C195" s="6">
        <v>16498</v>
      </c>
      <c r="D195" s="6">
        <v>16283</v>
      </c>
      <c r="E195" s="6">
        <v>16402</v>
      </c>
      <c r="F195" s="6">
        <v>29200</v>
      </c>
      <c r="G195" s="7">
        <f t="shared" ref="G195:H195" si="192">(E195-E194)/E194</f>
        <v>-4.3705232487556145E-3</v>
      </c>
      <c r="H195" s="7">
        <f t="shared" si="192"/>
        <v>-0.60857908847184983</v>
      </c>
      <c r="I195" s="8">
        <f>IF(COUNTIF(Event_Rumor!$B$2:$B$9,A195)&gt;0,1,0)</f>
        <v>0</v>
      </c>
      <c r="J195" s="8" t="str">
        <f t="array" ref="J19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5" s="8" t="str">
        <f t="array" ref="K195">IF(I195=1,"Event",IF(J195="-","Normal",IF(INDEX(Event_Rumor!$G$2:$G$9,MATCH(J195,Event_Rumor!$A$2:$A$9,0))&gt;ROW(),"Pre","Post")))</f>
        <v>Normal</v>
      </c>
      <c r="L195" s="11" t="str">
        <f t="array" ref="L195">IF(J195="-","-",INDEX(Event_Rumor!$E$2:$E$9,MATCH(J195,Event_Rumor!$A$2:$A$9,0)))</f>
        <v>-</v>
      </c>
    </row>
    <row r="196" spans="1:12" ht="15" customHeight="1" x14ac:dyDescent="0.3">
      <c r="A196" s="26">
        <v>45593</v>
      </c>
      <c r="B196" s="6">
        <v>16355</v>
      </c>
      <c r="C196" s="6">
        <v>16474</v>
      </c>
      <c r="D196" s="6">
        <v>16163</v>
      </c>
      <c r="E196" s="6">
        <v>16474</v>
      </c>
      <c r="F196" s="6">
        <v>89600</v>
      </c>
      <c r="G196" s="7">
        <f t="shared" ref="G196:H196" si="193">(E196-E195)/E195</f>
        <v>4.3897085721253505E-3</v>
      </c>
      <c r="H196" s="7">
        <f t="shared" si="193"/>
        <v>2.0684931506849313</v>
      </c>
      <c r="I196" s="8">
        <f>IF(COUNTIF(Event_Rumor!$B$2:$B$9,A196)&gt;0,1,0)</f>
        <v>0</v>
      </c>
      <c r="J196" s="8" t="str">
        <f t="array" ref="J19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6" s="8" t="str">
        <f t="array" ref="K196">IF(I196=1,"Event",IF(J196="-","Normal",IF(INDEX(Event_Rumor!$G$2:$G$9,MATCH(J196,Event_Rumor!$A$2:$A$9,0))&gt;ROW(),"Pre","Post")))</f>
        <v>Normal</v>
      </c>
      <c r="L196" s="11" t="str">
        <f t="array" ref="L196">IF(J196="-","-",INDEX(Event_Rumor!$E$2:$E$9,MATCH(J196,Event_Rumor!$A$2:$A$9,0)))</f>
        <v>-</v>
      </c>
    </row>
    <row r="197" spans="1:12" ht="15" customHeight="1" x14ac:dyDescent="0.3">
      <c r="A197" s="26">
        <v>45594</v>
      </c>
      <c r="B197" s="6">
        <v>16426</v>
      </c>
      <c r="C197" s="6">
        <v>16522</v>
      </c>
      <c r="D197" s="6">
        <v>16211</v>
      </c>
      <c r="E197" s="6">
        <v>16402</v>
      </c>
      <c r="F197" s="6">
        <v>66900</v>
      </c>
      <c r="G197" s="7">
        <f t="shared" ref="G197:H197" si="194">(E197-E196)/E196</f>
        <v>-4.3705232487556145E-3</v>
      </c>
      <c r="H197" s="7">
        <f t="shared" si="194"/>
        <v>-0.2533482142857143</v>
      </c>
      <c r="I197" s="8">
        <f>IF(COUNTIF(Event_Rumor!$B$2:$B$9,A197)&gt;0,1,0)</f>
        <v>0</v>
      </c>
      <c r="J197" s="8" t="str">
        <f t="array" ref="J19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7" s="8" t="str">
        <f t="array" ref="K197">IF(I197=1,"Event",IF(J197="-","Normal",IF(INDEX(Event_Rumor!$G$2:$G$9,MATCH(J197,Event_Rumor!$A$2:$A$9,0))&gt;ROW(),"Pre","Post")))</f>
        <v>Normal</v>
      </c>
      <c r="L197" s="11" t="str">
        <f t="array" ref="L197">IF(J197="-","-",INDEX(Event_Rumor!$E$2:$E$9,MATCH(J197,Event_Rumor!$A$2:$A$9,0)))</f>
        <v>-</v>
      </c>
    </row>
    <row r="198" spans="1:12" ht="15" customHeight="1" x14ac:dyDescent="0.3">
      <c r="A198" s="26">
        <v>45595</v>
      </c>
      <c r="B198" s="6">
        <v>16355</v>
      </c>
      <c r="C198" s="6">
        <v>16474</v>
      </c>
      <c r="D198" s="6">
        <v>16259</v>
      </c>
      <c r="E198" s="6">
        <v>16450</v>
      </c>
      <c r="F198" s="6">
        <v>65600</v>
      </c>
      <c r="G198" s="7">
        <f t="shared" ref="G198:H198" si="195">(E198-E197)/E197</f>
        <v>2.9264723814169005E-3</v>
      </c>
      <c r="H198" s="7">
        <f t="shared" si="195"/>
        <v>-1.9431988041853511E-2</v>
      </c>
      <c r="I198" s="8">
        <f>IF(COUNTIF(Event_Rumor!$B$2:$B$9,A198)&gt;0,1,0)</f>
        <v>0</v>
      </c>
      <c r="J198" s="8" t="str">
        <f t="array" ref="J19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8" s="8" t="str">
        <f t="array" ref="K198">IF(I198=1,"Event",IF(J198="-","Normal",IF(INDEX(Event_Rumor!$G$2:$G$9,MATCH(J198,Event_Rumor!$A$2:$A$9,0))&gt;ROW(),"Pre","Post")))</f>
        <v>Normal</v>
      </c>
      <c r="L198" s="11" t="str">
        <f t="array" ref="L198">IF(J198="-","-",INDEX(Event_Rumor!$E$2:$E$9,MATCH(J198,Event_Rumor!$A$2:$A$9,0)))</f>
        <v>-</v>
      </c>
    </row>
    <row r="199" spans="1:12" ht="15" customHeight="1" x14ac:dyDescent="0.3">
      <c r="A199" s="26">
        <v>45596</v>
      </c>
      <c r="B199" s="6">
        <v>16402</v>
      </c>
      <c r="C199" s="6">
        <v>16498</v>
      </c>
      <c r="D199" s="6">
        <v>16163</v>
      </c>
      <c r="E199" s="6">
        <v>16498</v>
      </c>
      <c r="F199" s="6">
        <v>96400</v>
      </c>
      <c r="G199" s="7">
        <f t="shared" ref="G199:H199" si="196">(E199-E198)/E198</f>
        <v>2.917933130699088E-3</v>
      </c>
      <c r="H199" s="7">
        <f t="shared" si="196"/>
        <v>0.46951219512195119</v>
      </c>
      <c r="I199" s="8">
        <f>IF(COUNTIF(Event_Rumor!$B$2:$B$9,A199)&gt;0,1,0)</f>
        <v>0</v>
      </c>
      <c r="J199" s="8" t="str">
        <f t="array" ref="J19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199" s="8" t="str">
        <f t="array" ref="K199">IF(I199=1,"Event",IF(J199="-","Normal",IF(INDEX(Event_Rumor!$G$2:$G$9,MATCH(J199,Event_Rumor!$A$2:$A$9,0))&gt;ROW(),"Pre","Post")))</f>
        <v>Normal</v>
      </c>
      <c r="L199" s="11" t="str">
        <f t="array" ref="L199">IF(J199="-","-",INDEX(Event_Rumor!$E$2:$E$9,MATCH(J199,Event_Rumor!$A$2:$A$9,0)))</f>
        <v>-</v>
      </c>
    </row>
    <row r="200" spans="1:12" ht="15" customHeight="1" x14ac:dyDescent="0.3">
      <c r="A200" s="26">
        <v>45597</v>
      </c>
      <c r="B200" s="6">
        <v>16474</v>
      </c>
      <c r="C200" s="6">
        <v>16522</v>
      </c>
      <c r="D200" s="6">
        <v>16307</v>
      </c>
      <c r="E200" s="6">
        <v>16522</v>
      </c>
      <c r="F200" s="6">
        <v>107200</v>
      </c>
      <c r="G200" s="7">
        <f t="shared" ref="G200:H200" si="197">(E200-E199)/E199</f>
        <v>1.4547217844587223E-3</v>
      </c>
      <c r="H200" s="7">
        <f t="shared" si="197"/>
        <v>0.11203319502074689</v>
      </c>
      <c r="I200" s="8">
        <f>IF(COUNTIF(Event_Rumor!$B$2:$B$9,A200)&gt;0,1,0)</f>
        <v>0</v>
      </c>
      <c r="J200" s="8" t="str">
        <f t="array" ref="J20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0" s="8" t="str">
        <f t="array" ref="K200">IF(I200=1,"Event",IF(J200="-","Normal",IF(INDEX(Event_Rumor!$G$2:$G$9,MATCH(J200,Event_Rumor!$A$2:$A$9,0))&gt;ROW(),"Pre","Post")))</f>
        <v>Normal</v>
      </c>
      <c r="L200" s="11" t="str">
        <f t="array" ref="L200">IF(J200="-","-",INDEX(Event_Rumor!$E$2:$E$9,MATCH(J200,Event_Rumor!$A$2:$A$9,0)))</f>
        <v>-</v>
      </c>
    </row>
    <row r="201" spans="1:12" ht="15" customHeight="1" x14ac:dyDescent="0.3">
      <c r="A201" s="26">
        <v>45600</v>
      </c>
      <c r="B201" s="6">
        <v>16498</v>
      </c>
      <c r="C201" s="6">
        <v>16522</v>
      </c>
      <c r="D201" s="6">
        <v>16115</v>
      </c>
      <c r="E201" s="6">
        <v>16498</v>
      </c>
      <c r="F201" s="6">
        <v>56500</v>
      </c>
      <c r="G201" s="7">
        <f t="shared" ref="G201:H201" si="198">(E201-E200)/E200</f>
        <v>-1.452608643021426E-3</v>
      </c>
      <c r="H201" s="7">
        <f t="shared" si="198"/>
        <v>-0.47294776119402987</v>
      </c>
      <c r="I201" s="8">
        <f>IF(COUNTIF(Event_Rumor!$B$2:$B$9,A201)&gt;0,1,0)</f>
        <v>0</v>
      </c>
      <c r="J201" s="8" t="str">
        <f t="array" ref="J20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1" s="8" t="str">
        <f t="array" ref="K201">IF(I201=1,"Event",IF(J201="-","Normal",IF(INDEX(Event_Rumor!$G$2:$G$9,MATCH(J201,Event_Rumor!$A$2:$A$9,0))&gt;ROW(),"Pre","Post")))</f>
        <v>Normal</v>
      </c>
      <c r="L201" s="11" t="str">
        <f t="array" ref="L201">IF(J201="-","-",INDEX(Event_Rumor!$E$2:$E$9,MATCH(J201,Event_Rumor!$A$2:$A$9,0)))</f>
        <v>-</v>
      </c>
    </row>
    <row r="202" spans="1:12" ht="15" customHeight="1" x14ac:dyDescent="0.3">
      <c r="A202" s="26">
        <v>45601</v>
      </c>
      <c r="B202" s="6">
        <v>16450</v>
      </c>
      <c r="C202" s="6">
        <v>16498</v>
      </c>
      <c r="D202" s="6">
        <v>16307</v>
      </c>
      <c r="E202" s="6">
        <v>16498</v>
      </c>
      <c r="F202" s="6">
        <v>92300</v>
      </c>
      <c r="G202" s="7">
        <f t="shared" ref="G202:H202" si="199">(E202-E201)/E201</f>
        <v>0</v>
      </c>
      <c r="H202" s="7">
        <f t="shared" si="199"/>
        <v>0.63362831858407076</v>
      </c>
      <c r="I202" s="8">
        <f>IF(COUNTIF(Event_Rumor!$B$2:$B$9,A202)&gt;0,1,0)</f>
        <v>0</v>
      </c>
      <c r="J202" s="8" t="str">
        <f t="array" ref="J20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2" s="8" t="str">
        <f t="array" ref="K202">IF(I202=1,"Event",IF(J202="-","Normal",IF(INDEX(Event_Rumor!$G$2:$G$9,MATCH(J202,Event_Rumor!$A$2:$A$9,0))&gt;ROW(),"Pre","Post")))</f>
        <v>Normal</v>
      </c>
      <c r="L202" s="11" t="str">
        <f t="array" ref="L202">IF(J202="-","-",INDEX(Event_Rumor!$E$2:$E$9,MATCH(J202,Event_Rumor!$A$2:$A$9,0)))</f>
        <v>-</v>
      </c>
    </row>
    <row r="203" spans="1:12" ht="15" customHeight="1" x14ac:dyDescent="0.3">
      <c r="A203" s="26">
        <v>45602</v>
      </c>
      <c r="B203" s="6">
        <v>16450</v>
      </c>
      <c r="C203" s="6">
        <v>16498</v>
      </c>
      <c r="D203" s="6">
        <v>16283</v>
      </c>
      <c r="E203" s="6">
        <v>16498</v>
      </c>
      <c r="F203" s="6">
        <v>71700</v>
      </c>
      <c r="G203" s="7">
        <f t="shared" ref="G203:H203" si="200">(E203-E202)/E202</f>
        <v>0</v>
      </c>
      <c r="H203" s="7">
        <f t="shared" si="200"/>
        <v>-0.22318526543878656</v>
      </c>
      <c r="I203" s="8">
        <f>IF(COUNTIF(Event_Rumor!$B$2:$B$9,A203)&gt;0,1,0)</f>
        <v>0</v>
      </c>
      <c r="J203" s="8" t="str">
        <f t="array" ref="J20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3" s="8" t="str">
        <f t="array" ref="K203">IF(I203=1,"Event",IF(J203="-","Normal",IF(INDEX(Event_Rumor!$G$2:$G$9,MATCH(J203,Event_Rumor!$A$2:$A$9,0))&gt;ROW(),"Pre","Post")))</f>
        <v>Normal</v>
      </c>
      <c r="L203" s="11" t="str">
        <f t="array" ref="L203">IF(J203="-","-",INDEX(Event_Rumor!$E$2:$E$9,MATCH(J203,Event_Rumor!$A$2:$A$9,0)))</f>
        <v>-</v>
      </c>
    </row>
    <row r="204" spans="1:12" ht="15" customHeight="1" x14ac:dyDescent="0.3">
      <c r="A204" s="26">
        <v>45603</v>
      </c>
      <c r="B204" s="6">
        <v>16450</v>
      </c>
      <c r="C204" s="6">
        <v>17026</v>
      </c>
      <c r="D204" s="6">
        <v>16115</v>
      </c>
      <c r="E204" s="6">
        <v>16954</v>
      </c>
      <c r="F204" s="6">
        <v>154200</v>
      </c>
      <c r="G204" s="7">
        <f t="shared" ref="G204:H204" si="201">(E204-E203)/E203</f>
        <v>2.7639713904715722E-2</v>
      </c>
      <c r="H204" s="7">
        <f t="shared" si="201"/>
        <v>1.1506276150627615</v>
      </c>
      <c r="I204" s="8">
        <f>IF(COUNTIF(Event_Rumor!$B$2:$B$9,A204)&gt;0,1,0)</f>
        <v>0</v>
      </c>
      <c r="J204" s="8" t="str">
        <f t="array" ref="J20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4" s="8" t="str">
        <f t="array" ref="K204">IF(I204=1,"Event",IF(J204="-","Normal",IF(INDEX(Event_Rumor!$G$2:$G$9,MATCH(J204,Event_Rumor!$A$2:$A$9,0))&gt;ROW(),"Pre","Post")))</f>
        <v>Normal</v>
      </c>
      <c r="L204" s="11" t="str">
        <f t="array" ref="L204">IF(J204="-","-",INDEX(Event_Rumor!$E$2:$E$9,MATCH(J204,Event_Rumor!$A$2:$A$9,0)))</f>
        <v>-</v>
      </c>
    </row>
    <row r="205" spans="1:12" ht="15" customHeight="1" x14ac:dyDescent="0.3">
      <c r="A205" s="26">
        <v>45604</v>
      </c>
      <c r="B205" s="6">
        <v>16930</v>
      </c>
      <c r="C205" s="6">
        <v>17026</v>
      </c>
      <c r="D205" s="6">
        <v>16762</v>
      </c>
      <c r="E205" s="6">
        <v>17002</v>
      </c>
      <c r="F205" s="6">
        <v>192000</v>
      </c>
      <c r="G205" s="7">
        <f t="shared" ref="G205:H205" si="202">(E205-E204)/E204</f>
        <v>2.83119027958004E-3</v>
      </c>
      <c r="H205" s="7">
        <f t="shared" si="202"/>
        <v>0.24513618677042801</v>
      </c>
      <c r="I205" s="8">
        <f>IF(COUNTIF(Event_Rumor!$B$2:$B$9,A205)&gt;0,1,0)</f>
        <v>0</v>
      </c>
      <c r="J205" s="8" t="str">
        <f t="array" ref="J20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5" s="8" t="str">
        <f t="array" ref="K205">IF(I205=1,"Event",IF(J205="-","Normal",IF(INDEX(Event_Rumor!$G$2:$G$9,MATCH(J205,Event_Rumor!$A$2:$A$9,0))&gt;ROW(),"Pre","Post")))</f>
        <v>Normal</v>
      </c>
      <c r="L205" s="11" t="str">
        <f t="array" ref="L205">IF(J205="-","-",INDEX(Event_Rumor!$E$2:$E$9,MATCH(J205,Event_Rumor!$A$2:$A$9,0)))</f>
        <v>-</v>
      </c>
    </row>
    <row r="206" spans="1:12" ht="15" customHeight="1" x14ac:dyDescent="0.3">
      <c r="A206" s="26">
        <v>45607</v>
      </c>
      <c r="B206" s="6">
        <v>17002</v>
      </c>
      <c r="C206" s="6">
        <v>17026</v>
      </c>
      <c r="D206" s="6">
        <v>16810</v>
      </c>
      <c r="E206" s="6">
        <v>17026</v>
      </c>
      <c r="F206" s="6">
        <v>119300</v>
      </c>
      <c r="G206" s="7">
        <f t="shared" ref="G206:H206" si="203">(E206-E205)/E205</f>
        <v>1.4115986354546525E-3</v>
      </c>
      <c r="H206" s="7">
        <f t="shared" si="203"/>
        <v>-0.37864583333333335</v>
      </c>
      <c r="I206" s="8">
        <f>IF(COUNTIF(Event_Rumor!$B$2:$B$9,A206)&gt;0,1,0)</f>
        <v>0</v>
      </c>
      <c r="J206" s="8" t="str">
        <f t="array" ref="J20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6" s="8" t="str">
        <f t="array" ref="K206">IF(I206=1,"Event",IF(J206="-","Normal",IF(INDEX(Event_Rumor!$G$2:$G$9,MATCH(J206,Event_Rumor!$A$2:$A$9,0))&gt;ROW(),"Pre","Post")))</f>
        <v>Normal</v>
      </c>
      <c r="L206" s="11" t="str">
        <f t="array" ref="L206">IF(J206="-","-",INDEX(Event_Rumor!$E$2:$E$9,MATCH(J206,Event_Rumor!$A$2:$A$9,0)))</f>
        <v>-</v>
      </c>
    </row>
    <row r="207" spans="1:12" ht="15" customHeight="1" x14ac:dyDescent="0.3">
      <c r="A207" s="26">
        <v>45608</v>
      </c>
      <c r="B207" s="6">
        <v>17002</v>
      </c>
      <c r="C207" s="6">
        <v>17170</v>
      </c>
      <c r="D207" s="6">
        <v>17002</v>
      </c>
      <c r="E207" s="6">
        <v>17074</v>
      </c>
      <c r="F207" s="6">
        <v>79300</v>
      </c>
      <c r="G207" s="7">
        <f t="shared" ref="G207:H207" si="204">(E207-E206)/E206</f>
        <v>2.8192176670973805E-3</v>
      </c>
      <c r="H207" s="7">
        <f t="shared" si="204"/>
        <v>-0.33528918692372173</v>
      </c>
      <c r="I207" s="8">
        <f>IF(COUNTIF(Event_Rumor!$B$2:$B$9,A207)&gt;0,1,0)</f>
        <v>0</v>
      </c>
      <c r="J207" s="8" t="str">
        <f t="array" ref="J20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7" s="8" t="str">
        <f t="array" ref="K207">IF(I207=1,"Event",IF(J207="-","Normal",IF(INDEX(Event_Rumor!$G$2:$G$9,MATCH(J207,Event_Rumor!$A$2:$A$9,0))&gt;ROW(),"Pre","Post")))</f>
        <v>Normal</v>
      </c>
      <c r="L207" s="11" t="str">
        <f t="array" ref="L207">IF(J207="-","-",INDEX(Event_Rumor!$E$2:$E$9,MATCH(J207,Event_Rumor!$A$2:$A$9,0)))</f>
        <v>-</v>
      </c>
    </row>
    <row r="208" spans="1:12" ht="15" customHeight="1" x14ac:dyDescent="0.3">
      <c r="A208" s="26">
        <v>45609</v>
      </c>
      <c r="B208" s="6">
        <v>17074</v>
      </c>
      <c r="C208" s="6">
        <v>17194</v>
      </c>
      <c r="D208" s="6">
        <v>17074</v>
      </c>
      <c r="E208" s="6">
        <v>17170</v>
      </c>
      <c r="F208" s="6">
        <v>77600</v>
      </c>
      <c r="G208" s="7">
        <f t="shared" ref="G208:H208" si="205">(E208-E207)/E207</f>
        <v>5.6225840459177695E-3</v>
      </c>
      <c r="H208" s="7">
        <f t="shared" si="205"/>
        <v>-2.1437578814627996E-2</v>
      </c>
      <c r="I208" s="8">
        <f>IF(COUNTIF(Event_Rumor!$B$2:$B$9,A208)&gt;0,1,0)</f>
        <v>0</v>
      </c>
      <c r="J208" s="8" t="str">
        <f t="array" ref="J20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8" s="8" t="str">
        <f t="array" ref="K208">IF(I208=1,"Event",IF(J208="-","Normal",IF(INDEX(Event_Rumor!$G$2:$G$9,MATCH(J208,Event_Rumor!$A$2:$A$9,0))&gt;ROW(),"Pre","Post")))</f>
        <v>Normal</v>
      </c>
      <c r="L208" s="11" t="str">
        <f t="array" ref="L208">IF(J208="-","-",INDEX(Event_Rumor!$E$2:$E$9,MATCH(J208,Event_Rumor!$A$2:$A$9,0)))</f>
        <v>-</v>
      </c>
    </row>
    <row r="209" spans="1:12" ht="15" customHeight="1" x14ac:dyDescent="0.3">
      <c r="A209" s="26">
        <v>45610</v>
      </c>
      <c r="B209" s="6">
        <v>17170</v>
      </c>
      <c r="C209" s="6">
        <v>17266</v>
      </c>
      <c r="D209" s="6">
        <v>17146</v>
      </c>
      <c r="E209" s="6">
        <v>17194</v>
      </c>
      <c r="F209" s="6">
        <v>84400</v>
      </c>
      <c r="G209" s="7">
        <f t="shared" ref="G209:H209" si="206">(E209-E208)/E208</f>
        <v>1.3977868375072801E-3</v>
      </c>
      <c r="H209" s="7">
        <f t="shared" si="206"/>
        <v>8.7628865979381437E-2</v>
      </c>
      <c r="I209" s="8">
        <f>IF(COUNTIF(Event_Rumor!$B$2:$B$9,A209)&gt;0,1,0)</f>
        <v>0</v>
      </c>
      <c r="J209" s="8" t="str">
        <f t="array" ref="J20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09" s="8" t="str">
        <f t="array" ref="K209">IF(I209=1,"Event",IF(J209="-","Normal",IF(INDEX(Event_Rumor!$G$2:$G$9,MATCH(J209,Event_Rumor!$A$2:$A$9,0))&gt;ROW(),"Pre","Post")))</f>
        <v>Normal</v>
      </c>
      <c r="L209" s="11" t="str">
        <f t="array" ref="L209">IF(J209="-","-",INDEX(Event_Rumor!$E$2:$E$9,MATCH(J209,Event_Rumor!$A$2:$A$9,0)))</f>
        <v>-</v>
      </c>
    </row>
    <row r="210" spans="1:12" ht="15" customHeight="1" x14ac:dyDescent="0.3">
      <c r="A210" s="26">
        <v>45611</v>
      </c>
      <c r="B210" s="6">
        <v>17170</v>
      </c>
      <c r="C210" s="6">
        <v>17266</v>
      </c>
      <c r="D210" s="6">
        <v>16259</v>
      </c>
      <c r="E210" s="6">
        <v>17266</v>
      </c>
      <c r="F210" s="6">
        <v>90000</v>
      </c>
      <c r="G210" s="7">
        <f t="shared" ref="G210:H210" si="207">(E210-E209)/E209</f>
        <v>4.1875072699778994E-3</v>
      </c>
      <c r="H210" s="7">
        <f t="shared" si="207"/>
        <v>6.6350710900473939E-2</v>
      </c>
      <c r="I210" s="8">
        <f>IF(COUNTIF(Event_Rumor!$B$2:$B$9,A210)&gt;0,1,0)</f>
        <v>0</v>
      </c>
      <c r="J210" s="8" t="str">
        <f t="array" ref="J2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0" s="8" t="str">
        <f t="array" ref="K210">IF(I210=1,"Event",IF(J210="-","Normal",IF(INDEX(Event_Rumor!$G$2:$G$9,MATCH(J210,Event_Rumor!$A$2:$A$9,0))&gt;ROW(),"Pre","Post")))</f>
        <v>Normal</v>
      </c>
      <c r="L210" s="11" t="str">
        <f t="array" ref="L210">IF(J210="-","-",INDEX(Event_Rumor!$E$2:$E$9,MATCH(J210,Event_Rumor!$A$2:$A$9,0)))</f>
        <v>-</v>
      </c>
    </row>
    <row r="211" spans="1:12" ht="15" customHeight="1" x14ac:dyDescent="0.3">
      <c r="A211" s="26">
        <v>45614</v>
      </c>
      <c r="B211" s="6">
        <v>17266</v>
      </c>
      <c r="C211" s="6">
        <v>17266</v>
      </c>
      <c r="D211" s="6">
        <v>17002</v>
      </c>
      <c r="E211" s="6">
        <v>17266</v>
      </c>
      <c r="F211" s="6">
        <v>57400</v>
      </c>
      <c r="G211" s="7">
        <f t="shared" ref="G211:H211" si="208">(E211-E210)/E210</f>
        <v>0</v>
      </c>
      <c r="H211" s="7">
        <f t="shared" si="208"/>
        <v>-0.36222222222222222</v>
      </c>
      <c r="I211" s="8">
        <f>IF(COUNTIF(Event_Rumor!$B$2:$B$9,A211)&gt;0,1,0)</f>
        <v>0</v>
      </c>
      <c r="J211" s="8" t="str">
        <f t="array" ref="J2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1" s="8" t="str">
        <f t="array" ref="K211">IF(I211=1,"Event",IF(J211="-","Normal",IF(INDEX(Event_Rumor!$G$2:$G$9,MATCH(J211,Event_Rumor!$A$2:$A$9,0))&gt;ROW(),"Pre","Post")))</f>
        <v>Normal</v>
      </c>
      <c r="L211" s="11" t="str">
        <f t="array" ref="L211">IF(J211="-","-",INDEX(Event_Rumor!$E$2:$E$9,MATCH(J211,Event_Rumor!$A$2:$A$9,0)))</f>
        <v>-</v>
      </c>
    </row>
    <row r="212" spans="1:12" ht="15" customHeight="1" x14ac:dyDescent="0.3">
      <c r="A212" s="26">
        <v>45615</v>
      </c>
      <c r="B212" s="6">
        <v>17266</v>
      </c>
      <c r="C212" s="6">
        <v>17266</v>
      </c>
      <c r="D212" s="6">
        <v>17002</v>
      </c>
      <c r="E212" s="6">
        <v>17266</v>
      </c>
      <c r="F212" s="6">
        <v>65900</v>
      </c>
      <c r="G212" s="7">
        <f t="shared" ref="G212:H212" si="209">(E212-E211)/E211</f>
        <v>0</v>
      </c>
      <c r="H212" s="7">
        <f t="shared" si="209"/>
        <v>0.1480836236933798</v>
      </c>
      <c r="I212" s="8">
        <f>IF(COUNTIF(Event_Rumor!$B$2:$B$9,A212)&gt;0,1,0)</f>
        <v>0</v>
      </c>
      <c r="J212" s="8" t="str">
        <f t="array" ref="J2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2" s="8" t="str">
        <f t="array" ref="K212">IF(I212=1,"Event",IF(J212="-","Normal",IF(INDEX(Event_Rumor!$G$2:$G$9,MATCH(J212,Event_Rumor!$A$2:$A$9,0))&gt;ROW(),"Pre","Post")))</f>
        <v>Normal</v>
      </c>
      <c r="L212" s="11" t="str">
        <f t="array" ref="L212">IF(J212="-","-",INDEX(Event_Rumor!$E$2:$E$9,MATCH(J212,Event_Rumor!$A$2:$A$9,0)))</f>
        <v>-</v>
      </c>
    </row>
    <row r="213" spans="1:12" ht="15" customHeight="1" x14ac:dyDescent="0.3">
      <c r="A213" s="26">
        <v>45616</v>
      </c>
      <c r="B213" s="6">
        <v>17242</v>
      </c>
      <c r="C213" s="6">
        <v>17266</v>
      </c>
      <c r="D213" s="6">
        <v>17098</v>
      </c>
      <c r="E213" s="6">
        <v>17266</v>
      </c>
      <c r="F213" s="6">
        <v>19300</v>
      </c>
      <c r="G213" s="7">
        <f t="shared" ref="G213:H213" si="210">(E213-E212)/E212</f>
        <v>0</v>
      </c>
      <c r="H213" s="7">
        <f t="shared" si="210"/>
        <v>-0.70713201820940819</v>
      </c>
      <c r="I213" s="8">
        <f>IF(COUNTIF(Event_Rumor!$B$2:$B$9,A213)&gt;0,1,0)</f>
        <v>0</v>
      </c>
      <c r="J213" s="8" t="str">
        <f t="array" ref="J2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3" s="8" t="str">
        <f t="array" ref="K213">IF(I213=1,"Event",IF(J213="-","Normal",IF(INDEX(Event_Rumor!$G$2:$G$9,MATCH(J213,Event_Rumor!$A$2:$A$9,0))&gt;ROW(),"Pre","Post")))</f>
        <v>Normal</v>
      </c>
      <c r="L213" s="11" t="str">
        <f t="array" ref="L213">IF(J213="-","-",INDEX(Event_Rumor!$E$2:$E$9,MATCH(J213,Event_Rumor!$A$2:$A$9,0)))</f>
        <v>-</v>
      </c>
    </row>
    <row r="214" spans="1:12" ht="15" customHeight="1" x14ac:dyDescent="0.3">
      <c r="A214" s="26">
        <v>45617</v>
      </c>
      <c r="B214" s="6">
        <v>17266</v>
      </c>
      <c r="C214" s="6">
        <v>18225</v>
      </c>
      <c r="D214" s="6">
        <v>17266</v>
      </c>
      <c r="E214" s="6">
        <v>18225</v>
      </c>
      <c r="F214" s="6">
        <v>442900</v>
      </c>
      <c r="G214" s="7">
        <f t="shared" ref="G214:H214" si="211">(E214-E213)/E213</f>
        <v>5.5542685045754665E-2</v>
      </c>
      <c r="H214" s="7">
        <f t="shared" si="211"/>
        <v>21.948186528497409</v>
      </c>
      <c r="I214" s="8">
        <f>IF(COUNTIF(Event_Rumor!$B$2:$B$9,A214)&gt;0,1,0)</f>
        <v>0</v>
      </c>
      <c r="J214" s="8" t="str">
        <f t="array" ref="J2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4" s="8" t="str">
        <f t="array" ref="K214">IF(I214=1,"Event",IF(J214="-","Normal",IF(INDEX(Event_Rumor!$G$2:$G$9,MATCH(J214,Event_Rumor!$A$2:$A$9,0))&gt;ROW(),"Pre","Post")))</f>
        <v>Normal</v>
      </c>
      <c r="L214" s="11" t="str">
        <f t="array" ref="L214">IF(J214="-","-",INDEX(Event_Rumor!$E$2:$E$9,MATCH(J214,Event_Rumor!$A$2:$A$9,0)))</f>
        <v>-</v>
      </c>
    </row>
    <row r="215" spans="1:12" ht="15" customHeight="1" x14ac:dyDescent="0.3">
      <c r="A215" s="26">
        <v>45618</v>
      </c>
      <c r="B215" s="6">
        <v>18225</v>
      </c>
      <c r="C215" s="6">
        <v>18225</v>
      </c>
      <c r="D215" s="6">
        <v>17889</v>
      </c>
      <c r="E215" s="6">
        <v>18201</v>
      </c>
      <c r="F215" s="6">
        <v>123800</v>
      </c>
      <c r="G215" s="7">
        <f t="shared" ref="G215:H215" si="212">(E215-E214)/E214</f>
        <v>-1.3168724279835392E-3</v>
      </c>
      <c r="H215" s="7">
        <f t="shared" si="212"/>
        <v>-0.7204786633551592</v>
      </c>
      <c r="I215" s="8">
        <f>IF(COUNTIF(Event_Rumor!$B$2:$B$9,A215)&gt;0,1,0)</f>
        <v>0</v>
      </c>
      <c r="J215" s="8" t="str">
        <f t="array" ref="J2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5" s="8" t="str">
        <f t="array" ref="K215">IF(I215=1,"Event",IF(J215="-","Normal",IF(INDEX(Event_Rumor!$G$2:$G$9,MATCH(J215,Event_Rumor!$A$2:$A$9,0))&gt;ROW(),"Pre","Post")))</f>
        <v>Normal</v>
      </c>
      <c r="L215" s="11" t="str">
        <f t="array" ref="L215">IF(J215="-","-",INDEX(Event_Rumor!$E$2:$E$9,MATCH(J215,Event_Rumor!$A$2:$A$9,0)))</f>
        <v>-</v>
      </c>
    </row>
    <row r="216" spans="1:12" ht="15" customHeight="1" x14ac:dyDescent="0.3">
      <c r="A216" s="26">
        <v>45621</v>
      </c>
      <c r="B216" s="6">
        <v>18225</v>
      </c>
      <c r="C216" s="6">
        <v>18897</v>
      </c>
      <c r="D216" s="6">
        <v>18225</v>
      </c>
      <c r="E216" s="6">
        <v>18897</v>
      </c>
      <c r="F216" s="6">
        <v>497300</v>
      </c>
      <c r="G216" s="7">
        <f t="shared" ref="G216:H216" si="213">(E216-E215)/E215</f>
        <v>3.8239657161694411E-2</v>
      </c>
      <c r="H216" s="7">
        <f t="shared" si="213"/>
        <v>3.0169628432956381</v>
      </c>
      <c r="I216" s="8">
        <f>IF(COUNTIF(Event_Rumor!$B$2:$B$9,A216)&gt;0,1,0)</f>
        <v>0</v>
      </c>
      <c r="J216" s="8" t="str">
        <f t="array" ref="J2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6" s="8" t="str">
        <f t="array" ref="K216">IF(I216=1,"Event",IF(J216="-","Normal",IF(INDEX(Event_Rumor!$G$2:$G$9,MATCH(J216,Event_Rumor!$A$2:$A$9,0))&gt;ROW(),"Pre","Post")))</f>
        <v>Normal</v>
      </c>
      <c r="L216" s="11" t="str">
        <f t="array" ref="L216">IF(J216="-","-",INDEX(Event_Rumor!$E$2:$E$9,MATCH(J216,Event_Rumor!$A$2:$A$9,0)))</f>
        <v>-</v>
      </c>
    </row>
    <row r="217" spans="1:12" ht="15" customHeight="1" x14ac:dyDescent="0.3">
      <c r="A217" s="26">
        <v>45622</v>
      </c>
      <c r="B217" s="6">
        <v>19040</v>
      </c>
      <c r="C217" s="6">
        <v>19040</v>
      </c>
      <c r="D217" s="6">
        <v>18513</v>
      </c>
      <c r="E217" s="6">
        <v>18801</v>
      </c>
      <c r="F217" s="6">
        <v>282900</v>
      </c>
      <c r="G217" s="7">
        <f t="shared" ref="G217:H217" si="214">(E217-E216)/E216</f>
        <v>-5.0801714557866329E-3</v>
      </c>
      <c r="H217" s="7">
        <f t="shared" si="214"/>
        <v>-0.43112809169515381</v>
      </c>
      <c r="I217" s="8">
        <f>IF(COUNTIF(Event_Rumor!$B$2:$B$9,A217)&gt;0,1,0)</f>
        <v>0</v>
      </c>
      <c r="J217" s="8" t="str">
        <f t="array" ref="J2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7" s="8" t="str">
        <f t="array" ref="K217">IF(I217=1,"Event",IF(J217="-","Normal",IF(INDEX(Event_Rumor!$G$2:$G$9,MATCH(J217,Event_Rumor!$A$2:$A$9,0))&gt;ROW(),"Pre","Post")))</f>
        <v>Normal</v>
      </c>
      <c r="L217" s="11" t="str">
        <f t="array" ref="L217">IF(J217="-","-",INDEX(Event_Rumor!$E$2:$E$9,MATCH(J217,Event_Rumor!$A$2:$A$9,0)))</f>
        <v>-</v>
      </c>
    </row>
    <row r="218" spans="1:12" ht="15" customHeight="1" x14ac:dyDescent="0.3">
      <c r="A218" s="26">
        <v>45624</v>
      </c>
      <c r="B218" s="6">
        <v>18801</v>
      </c>
      <c r="C218" s="6">
        <v>18849</v>
      </c>
      <c r="D218" s="6">
        <v>18417</v>
      </c>
      <c r="E218" s="6">
        <v>18777</v>
      </c>
      <c r="F218" s="6">
        <v>124600</v>
      </c>
      <c r="G218" s="7">
        <f t="shared" ref="G218:H218" si="215">(E218-E217)/E217</f>
        <v>-1.276527844263603E-3</v>
      </c>
      <c r="H218" s="7">
        <f t="shared" si="215"/>
        <v>-0.55956168257334749</v>
      </c>
      <c r="I218" s="8">
        <f>IF(COUNTIF(Event_Rumor!$B$2:$B$9,A218)&gt;0,1,0)</f>
        <v>0</v>
      </c>
      <c r="J218" s="8" t="str">
        <f t="array" ref="J2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8" s="8" t="str">
        <f t="array" ref="K218">IF(I218=1,"Event",IF(J218="-","Normal",IF(INDEX(Event_Rumor!$G$2:$G$9,MATCH(J218,Event_Rumor!$A$2:$A$9,0))&gt;ROW(),"Pre","Post")))</f>
        <v>Normal</v>
      </c>
      <c r="L218" s="11" t="str">
        <f t="array" ref="L218">IF(J218="-","-",INDEX(Event_Rumor!$E$2:$E$9,MATCH(J218,Event_Rumor!$A$2:$A$9,0)))</f>
        <v>-</v>
      </c>
    </row>
    <row r="219" spans="1:12" ht="15" customHeight="1" x14ac:dyDescent="0.3">
      <c r="A219" s="26">
        <v>45625</v>
      </c>
      <c r="B219" s="6">
        <v>18729</v>
      </c>
      <c r="C219" s="6">
        <v>18777</v>
      </c>
      <c r="D219" s="6">
        <v>18537</v>
      </c>
      <c r="E219" s="6">
        <v>18777</v>
      </c>
      <c r="F219" s="6">
        <v>75300</v>
      </c>
      <c r="G219" s="7">
        <f t="shared" ref="G219:H219" si="216">(E219-E218)/E218</f>
        <v>0</v>
      </c>
      <c r="H219" s="7">
        <f t="shared" si="216"/>
        <v>-0.3956661316211878</v>
      </c>
      <c r="I219" s="8">
        <f>IF(COUNTIF(Event_Rumor!$B$2:$B$9,A219)&gt;0,1,0)</f>
        <v>0</v>
      </c>
      <c r="J219" s="8" t="str">
        <f t="array" ref="J2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19" s="8" t="str">
        <f t="array" ref="K219">IF(I219=1,"Event",IF(J219="-","Normal",IF(INDEX(Event_Rumor!$G$2:$G$9,MATCH(J219,Event_Rumor!$A$2:$A$9,0))&gt;ROW(),"Pre","Post")))</f>
        <v>Normal</v>
      </c>
      <c r="L219" s="11" t="str">
        <f t="array" ref="L219">IF(J219="-","-",INDEX(Event_Rumor!$E$2:$E$9,MATCH(J219,Event_Rumor!$A$2:$A$9,0)))</f>
        <v>-</v>
      </c>
    </row>
    <row r="220" spans="1:12" ht="15" customHeight="1" x14ac:dyDescent="0.3">
      <c r="A220" s="26">
        <v>45628</v>
      </c>
      <c r="B220" s="6">
        <v>18705</v>
      </c>
      <c r="C220" s="6">
        <v>19040</v>
      </c>
      <c r="D220" s="6">
        <v>18465</v>
      </c>
      <c r="E220" s="6">
        <v>18801</v>
      </c>
      <c r="F220" s="6">
        <v>208800</v>
      </c>
      <c r="G220" s="7">
        <f t="shared" ref="G220:H220" si="217">(E220-E219)/E219</f>
        <v>1.2781594503914362E-3</v>
      </c>
      <c r="H220" s="7">
        <f t="shared" si="217"/>
        <v>1.7729083665338645</v>
      </c>
      <c r="I220" s="8">
        <f>IF(COUNTIF(Event_Rumor!$B$2:$B$9,A220)&gt;0,1,0)</f>
        <v>0</v>
      </c>
      <c r="J220" s="8" t="str">
        <f t="array" ref="J2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0" s="8" t="str">
        <f t="array" ref="K220">IF(I220=1,"Event",IF(J220="-","Normal",IF(INDEX(Event_Rumor!$G$2:$G$9,MATCH(J220,Event_Rumor!$A$2:$A$9,0))&gt;ROW(),"Pre","Post")))</f>
        <v>Normal</v>
      </c>
      <c r="L220" s="11" t="str">
        <f t="array" ref="L220">IF(J220="-","-",INDEX(Event_Rumor!$E$2:$E$9,MATCH(J220,Event_Rumor!$A$2:$A$9,0)))</f>
        <v>-</v>
      </c>
    </row>
    <row r="221" spans="1:12" ht="15" customHeight="1" x14ac:dyDescent="0.3">
      <c r="A221" s="26">
        <v>45629</v>
      </c>
      <c r="B221" s="6">
        <v>18849</v>
      </c>
      <c r="C221" s="6">
        <v>18897</v>
      </c>
      <c r="D221" s="6">
        <v>18561</v>
      </c>
      <c r="E221" s="6">
        <v>18897</v>
      </c>
      <c r="F221" s="6">
        <v>215500</v>
      </c>
      <c r="G221" s="7">
        <f t="shared" ref="G221:H221" si="218">(E221-E220)/E220</f>
        <v>5.106111377054412E-3</v>
      </c>
      <c r="H221" s="7">
        <f t="shared" si="218"/>
        <v>3.2088122605363985E-2</v>
      </c>
      <c r="I221" s="8">
        <f>IF(COUNTIF(Event_Rumor!$B$2:$B$9,A221)&gt;0,1,0)</f>
        <v>0</v>
      </c>
      <c r="J221" s="8" t="str">
        <f t="array" ref="J2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1" s="8" t="str">
        <f t="array" ref="K221">IF(I221=1,"Event",IF(J221="-","Normal",IF(INDEX(Event_Rumor!$G$2:$G$9,MATCH(J221,Event_Rumor!$A$2:$A$9,0))&gt;ROW(),"Pre","Post")))</f>
        <v>Normal</v>
      </c>
      <c r="L221" s="11" t="str">
        <f t="array" ref="L221">IF(J221="-","-",INDEX(Event_Rumor!$E$2:$E$9,MATCH(J221,Event_Rumor!$A$2:$A$9,0)))</f>
        <v>-</v>
      </c>
    </row>
    <row r="222" spans="1:12" ht="15" customHeight="1" x14ac:dyDescent="0.3">
      <c r="A222" s="26">
        <v>45630</v>
      </c>
      <c r="B222" s="6">
        <v>18897</v>
      </c>
      <c r="C222" s="6">
        <v>18992</v>
      </c>
      <c r="D222" s="6">
        <v>18801</v>
      </c>
      <c r="E222" s="6">
        <v>18992</v>
      </c>
      <c r="F222" s="6">
        <v>89300</v>
      </c>
      <c r="G222" s="7">
        <f t="shared" ref="G222:H222" si="219">(E222-E221)/E221</f>
        <v>5.0272530031221889E-3</v>
      </c>
      <c r="H222" s="7">
        <f t="shared" si="219"/>
        <v>-0.58561484918793505</v>
      </c>
      <c r="I222" s="8">
        <f>IF(COUNTIF(Event_Rumor!$B$2:$B$9,A222)&gt;0,1,0)</f>
        <v>0</v>
      </c>
      <c r="J222" s="8" t="str">
        <f t="array" ref="J2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2" s="8" t="str">
        <f t="array" ref="K222">IF(I222=1,"Event",IF(J222="-","Normal",IF(INDEX(Event_Rumor!$G$2:$G$9,MATCH(J222,Event_Rumor!$A$2:$A$9,0))&gt;ROW(),"Pre","Post")))</f>
        <v>Normal</v>
      </c>
      <c r="L222" s="11" t="str">
        <f t="array" ref="L222">IF(J222="-","-",INDEX(Event_Rumor!$E$2:$E$9,MATCH(J222,Event_Rumor!$A$2:$A$9,0)))</f>
        <v>-</v>
      </c>
    </row>
    <row r="223" spans="1:12" ht="15" customHeight="1" x14ac:dyDescent="0.3">
      <c r="A223" s="26">
        <v>45631</v>
      </c>
      <c r="B223" s="6">
        <v>18992</v>
      </c>
      <c r="C223" s="6">
        <v>19016</v>
      </c>
      <c r="D223" s="6">
        <v>18873</v>
      </c>
      <c r="E223" s="6">
        <v>18992</v>
      </c>
      <c r="F223" s="6">
        <v>26400</v>
      </c>
      <c r="G223" s="7">
        <f t="shared" ref="G223:H223" si="220">(E223-E222)/E222</f>
        <v>0</v>
      </c>
      <c r="H223" s="7">
        <f t="shared" si="220"/>
        <v>-0.70436730123180291</v>
      </c>
      <c r="I223" s="8">
        <f>IF(COUNTIF(Event_Rumor!$B$2:$B$9,A223)&gt;0,1,0)</f>
        <v>0</v>
      </c>
      <c r="J223" s="8" t="str">
        <f t="array" ref="J2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3" s="8" t="str">
        <f t="array" ref="K223">IF(I223=1,"Event",IF(J223="-","Normal",IF(INDEX(Event_Rumor!$G$2:$G$9,MATCH(J223,Event_Rumor!$A$2:$A$9,0))&gt;ROW(),"Pre","Post")))</f>
        <v>Normal</v>
      </c>
      <c r="L223" s="11" t="str">
        <f t="array" ref="L223">IF(J223="-","-",INDEX(Event_Rumor!$E$2:$E$9,MATCH(J223,Event_Rumor!$A$2:$A$9,0)))</f>
        <v>-</v>
      </c>
    </row>
    <row r="224" spans="1:12" ht="15" customHeight="1" x14ac:dyDescent="0.3">
      <c r="A224" s="26">
        <v>45632</v>
      </c>
      <c r="B224" s="6">
        <v>18992</v>
      </c>
      <c r="C224" s="6">
        <v>19040</v>
      </c>
      <c r="D224" s="6">
        <v>18897</v>
      </c>
      <c r="E224" s="6">
        <v>19040</v>
      </c>
      <c r="F224" s="6">
        <v>193600</v>
      </c>
      <c r="G224" s="7">
        <f t="shared" ref="G224:H224" si="221">(E224-E223)/E223</f>
        <v>2.527379949452401E-3</v>
      </c>
      <c r="H224" s="7">
        <f t="shared" si="221"/>
        <v>6.333333333333333</v>
      </c>
      <c r="I224" s="8">
        <f>IF(COUNTIF(Event_Rumor!$B$2:$B$9,A224)&gt;0,1,0)</f>
        <v>0</v>
      </c>
      <c r="J224" s="8" t="str">
        <f t="array" ref="J2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4" s="8" t="str">
        <f t="array" ref="K224">IF(I224=1,"Event",IF(J224="-","Normal",IF(INDEX(Event_Rumor!$G$2:$G$9,MATCH(J224,Event_Rumor!$A$2:$A$9,0))&gt;ROW(),"Pre","Post")))</f>
        <v>Normal</v>
      </c>
      <c r="L224" s="11" t="str">
        <f t="array" ref="L224">IF(J224="-","-",INDEX(Event_Rumor!$E$2:$E$9,MATCH(J224,Event_Rumor!$A$2:$A$9,0)))</f>
        <v>-</v>
      </c>
    </row>
    <row r="225" spans="1:12" ht="15" customHeight="1" x14ac:dyDescent="0.3">
      <c r="A225" s="26">
        <v>45635</v>
      </c>
      <c r="B225" s="6">
        <v>19040</v>
      </c>
      <c r="C225" s="6">
        <v>19184</v>
      </c>
      <c r="D225" s="6">
        <v>18944</v>
      </c>
      <c r="E225" s="6">
        <v>19088</v>
      </c>
      <c r="F225" s="6">
        <v>199800</v>
      </c>
      <c r="G225" s="7">
        <f t="shared" ref="G225:H225" si="222">(E225-E224)/E224</f>
        <v>2.5210084033613447E-3</v>
      </c>
      <c r="H225" s="7">
        <f t="shared" si="222"/>
        <v>3.2024793388429749E-2</v>
      </c>
      <c r="I225" s="8">
        <f>IF(COUNTIF(Event_Rumor!$B$2:$B$9,A225)&gt;0,1,0)</f>
        <v>0</v>
      </c>
      <c r="J225" s="8" t="str">
        <f t="array" ref="J2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5" s="8" t="str">
        <f t="array" ref="K225">IF(I225=1,"Event",IF(J225="-","Normal",IF(INDEX(Event_Rumor!$G$2:$G$9,MATCH(J225,Event_Rumor!$A$2:$A$9,0))&gt;ROW(),"Pre","Post")))</f>
        <v>Normal</v>
      </c>
      <c r="L225" s="11" t="str">
        <f t="array" ref="L225">IF(J225="-","-",INDEX(Event_Rumor!$E$2:$E$9,MATCH(J225,Event_Rumor!$A$2:$A$9,0)))</f>
        <v>-</v>
      </c>
    </row>
    <row r="226" spans="1:12" ht="15" customHeight="1" x14ac:dyDescent="0.3">
      <c r="A226" s="26">
        <v>45636</v>
      </c>
      <c r="B226" s="6">
        <v>19088</v>
      </c>
      <c r="C226" s="6">
        <v>19184</v>
      </c>
      <c r="D226" s="6">
        <v>18897</v>
      </c>
      <c r="E226" s="6">
        <v>19184</v>
      </c>
      <c r="F226" s="6">
        <v>124700</v>
      </c>
      <c r="G226" s="7">
        <f t="shared" ref="G226:H226" si="223">(E226-E225)/E225</f>
        <v>5.0293378038558257E-3</v>
      </c>
      <c r="H226" s="7">
        <f t="shared" si="223"/>
        <v>-0.3758758758758759</v>
      </c>
      <c r="I226" s="8">
        <f>IF(COUNTIF(Event_Rumor!$B$2:$B$9,A226)&gt;0,1,0)</f>
        <v>0</v>
      </c>
      <c r="J226" s="8" t="str">
        <f t="array" ref="J2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6" s="8" t="str">
        <f t="array" ref="K226">IF(I226=1,"Event",IF(J226="-","Normal",IF(INDEX(Event_Rumor!$G$2:$G$9,MATCH(J226,Event_Rumor!$A$2:$A$9,0))&gt;ROW(),"Pre","Post")))</f>
        <v>Normal</v>
      </c>
      <c r="L226" s="11" t="str">
        <f t="array" ref="L226">IF(J226="-","-",INDEX(Event_Rumor!$E$2:$E$9,MATCH(J226,Event_Rumor!$A$2:$A$9,0)))</f>
        <v>-</v>
      </c>
    </row>
    <row r="227" spans="1:12" ht="15" customHeight="1" x14ac:dyDescent="0.3">
      <c r="A227" s="26">
        <v>45637</v>
      </c>
      <c r="B227" s="6">
        <v>19184</v>
      </c>
      <c r="C227" s="6">
        <v>20503</v>
      </c>
      <c r="D227" s="6">
        <v>19184</v>
      </c>
      <c r="E227" s="6">
        <v>19856</v>
      </c>
      <c r="F227" s="6">
        <v>675900</v>
      </c>
      <c r="G227" s="7">
        <f t="shared" ref="G227:H227" si="224">(E227-E226)/E226</f>
        <v>3.5029190992493742E-2</v>
      </c>
      <c r="H227" s="7">
        <f t="shared" si="224"/>
        <v>4.4202085004009621</v>
      </c>
      <c r="I227" s="8">
        <f>IF(COUNTIF(Event_Rumor!$B$2:$B$9,A227)&gt;0,1,0)</f>
        <v>0</v>
      </c>
      <c r="J227" s="8" t="str">
        <f t="array" ref="J2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7" s="8" t="str">
        <f t="array" ref="K227">IF(I227=1,"Event",IF(J227="-","Normal",IF(INDEX(Event_Rumor!$G$2:$G$9,MATCH(J227,Event_Rumor!$A$2:$A$9,0))&gt;ROW(),"Pre","Post")))</f>
        <v>Normal</v>
      </c>
      <c r="L227" s="11" t="str">
        <f t="array" ref="L227">IF(J227="-","-",INDEX(Event_Rumor!$E$2:$E$9,MATCH(J227,Event_Rumor!$A$2:$A$9,0)))</f>
        <v>-</v>
      </c>
    </row>
    <row r="228" spans="1:12" ht="15" customHeight="1" x14ac:dyDescent="0.3">
      <c r="A228" s="26">
        <v>45638</v>
      </c>
      <c r="B228" s="6">
        <v>19928</v>
      </c>
      <c r="C228" s="6">
        <v>20383</v>
      </c>
      <c r="D228" s="6">
        <v>19304</v>
      </c>
      <c r="E228" s="6">
        <v>19856</v>
      </c>
      <c r="F228" s="6">
        <v>340800</v>
      </c>
      <c r="G228" s="7">
        <f t="shared" ref="G228:H228" si="225">(E228-E227)/E227</f>
        <v>0</v>
      </c>
      <c r="H228" s="7">
        <f t="shared" si="225"/>
        <v>-0.49578339991122949</v>
      </c>
      <c r="I228" s="8">
        <f>IF(COUNTIF(Event_Rumor!$B$2:$B$9,A228)&gt;0,1,0)</f>
        <v>0</v>
      </c>
      <c r="J228" s="8" t="str">
        <f t="array" ref="J2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8" s="8" t="str">
        <f t="array" ref="K228">IF(I228=1,"Event",IF(J228="-","Normal",IF(INDEX(Event_Rumor!$G$2:$G$9,MATCH(J228,Event_Rumor!$A$2:$A$9,0))&gt;ROW(),"Pre","Post")))</f>
        <v>Normal</v>
      </c>
      <c r="L228" s="11" t="str">
        <f t="array" ref="L228">IF(J228="-","-",INDEX(Event_Rumor!$E$2:$E$9,MATCH(J228,Event_Rumor!$A$2:$A$9,0)))</f>
        <v>-</v>
      </c>
    </row>
    <row r="229" spans="1:12" ht="15" customHeight="1" x14ac:dyDescent="0.3">
      <c r="A229" s="26">
        <v>45639</v>
      </c>
      <c r="B229" s="6">
        <v>19856</v>
      </c>
      <c r="C229" s="6">
        <v>20000</v>
      </c>
      <c r="D229" s="6">
        <v>19472</v>
      </c>
      <c r="E229" s="6">
        <v>19472</v>
      </c>
      <c r="F229" s="6">
        <v>171800</v>
      </c>
      <c r="G229" s="7">
        <f t="shared" ref="G229:H229" si="226">(E229-E228)/E228</f>
        <v>-1.9339242546333603E-2</v>
      </c>
      <c r="H229" s="7">
        <f t="shared" si="226"/>
        <v>-0.49589201877934275</v>
      </c>
      <c r="I229" s="8">
        <f>IF(COUNTIF(Event_Rumor!$B$2:$B$9,A229)&gt;0,1,0)</f>
        <v>0</v>
      </c>
      <c r="J229" s="8" t="str">
        <f t="array" ref="J2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29" s="8" t="str">
        <f t="array" ref="K229">IF(I229=1,"Event",IF(J229="-","Normal",IF(INDEX(Event_Rumor!$G$2:$G$9,MATCH(J229,Event_Rumor!$A$2:$A$9,0))&gt;ROW(),"Pre","Post")))</f>
        <v>Normal</v>
      </c>
      <c r="L229" s="11" t="str">
        <f t="array" ref="L229">IF(J229="-","-",INDEX(Event_Rumor!$E$2:$E$9,MATCH(J229,Event_Rumor!$A$2:$A$9,0)))</f>
        <v>-</v>
      </c>
    </row>
    <row r="230" spans="1:12" ht="15" customHeight="1" x14ac:dyDescent="0.3">
      <c r="A230" s="26">
        <v>45642</v>
      </c>
      <c r="B230" s="6">
        <v>19472</v>
      </c>
      <c r="C230" s="6">
        <v>19856</v>
      </c>
      <c r="D230" s="6">
        <v>19184</v>
      </c>
      <c r="E230" s="6">
        <v>19640</v>
      </c>
      <c r="F230" s="6">
        <v>265500</v>
      </c>
      <c r="G230" s="7">
        <f t="shared" ref="G230:H230" si="227">(E230-E229)/E229</f>
        <v>8.6277732128184053E-3</v>
      </c>
      <c r="H230" s="7">
        <f t="shared" si="227"/>
        <v>0.5454016298020955</v>
      </c>
      <c r="I230" s="8">
        <f>IF(COUNTIF(Event_Rumor!$B$2:$B$9,A230)&gt;0,1,0)</f>
        <v>0</v>
      </c>
      <c r="J230" s="8" t="str">
        <f t="array" ref="J2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0" s="8" t="str">
        <f t="array" ref="K230">IF(I230=1,"Event",IF(J230="-","Normal",IF(INDEX(Event_Rumor!$G$2:$G$9,MATCH(J230,Event_Rumor!$A$2:$A$9,0))&gt;ROW(),"Pre","Post")))</f>
        <v>Normal</v>
      </c>
      <c r="L230" s="11" t="str">
        <f t="array" ref="L230">IF(J230="-","-",INDEX(Event_Rumor!$E$2:$E$9,MATCH(J230,Event_Rumor!$A$2:$A$9,0)))</f>
        <v>-</v>
      </c>
    </row>
    <row r="231" spans="1:12" ht="15" customHeight="1" x14ac:dyDescent="0.3">
      <c r="A231" s="26">
        <v>45643</v>
      </c>
      <c r="B231" s="6">
        <v>19640</v>
      </c>
      <c r="C231" s="6">
        <v>19832</v>
      </c>
      <c r="D231" s="6">
        <v>19424</v>
      </c>
      <c r="E231" s="6">
        <v>19640</v>
      </c>
      <c r="F231" s="6">
        <v>179600</v>
      </c>
      <c r="G231" s="7">
        <f t="shared" ref="G231:H231" si="228">(E231-E230)/E230</f>
        <v>0</v>
      </c>
      <c r="H231" s="7">
        <f t="shared" si="228"/>
        <v>-0.32354048964218457</v>
      </c>
      <c r="I231" s="8">
        <f>IF(COUNTIF(Event_Rumor!$B$2:$B$9,A231)&gt;0,1,0)</f>
        <v>0</v>
      </c>
      <c r="J231" s="8" t="str">
        <f t="array" ref="J2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1" s="8" t="str">
        <f t="array" ref="K231">IF(I231=1,"Event",IF(J231="-","Normal",IF(INDEX(Event_Rumor!$G$2:$G$9,MATCH(J231,Event_Rumor!$A$2:$A$9,0))&gt;ROW(),"Pre","Post")))</f>
        <v>Normal</v>
      </c>
      <c r="L231" s="11" t="str">
        <f t="array" ref="L231">IF(J231="-","-",INDEX(Event_Rumor!$E$2:$E$9,MATCH(J231,Event_Rumor!$A$2:$A$9,0)))</f>
        <v>-</v>
      </c>
    </row>
    <row r="232" spans="1:12" ht="15" customHeight="1" x14ac:dyDescent="0.3">
      <c r="A232" s="26">
        <v>45644</v>
      </c>
      <c r="B232" s="6">
        <v>19780</v>
      </c>
      <c r="C232" s="6">
        <v>19780</v>
      </c>
      <c r="D232" s="6">
        <v>19321</v>
      </c>
      <c r="E232" s="6">
        <v>19321</v>
      </c>
      <c r="F232" s="6">
        <v>134200</v>
      </c>
      <c r="G232" s="7">
        <f t="shared" ref="G232:H232" si="229">(E232-E231)/E231</f>
        <v>-1.624236252545825E-2</v>
      </c>
      <c r="H232" s="7">
        <f t="shared" si="229"/>
        <v>-0.25278396436525613</v>
      </c>
      <c r="I232" s="8">
        <f>IF(COUNTIF(Event_Rumor!$B$2:$B$9,A232)&gt;0,1,0)</f>
        <v>0</v>
      </c>
      <c r="J232" s="8" t="str">
        <f t="array" ref="J2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2" s="8" t="str">
        <f t="array" ref="K232">IF(I232=1,"Event",IF(J232="-","Normal",IF(INDEX(Event_Rumor!$G$2:$G$9,MATCH(J232,Event_Rumor!$A$2:$A$9,0))&gt;ROW(),"Pre","Post")))</f>
        <v>Normal</v>
      </c>
      <c r="L232" s="11" t="str">
        <f t="array" ref="L232">IF(J232="-","-",INDEX(Event_Rumor!$E$2:$E$9,MATCH(J232,Event_Rumor!$A$2:$A$9,0)))</f>
        <v>-</v>
      </c>
    </row>
    <row r="233" spans="1:12" ht="15" customHeight="1" x14ac:dyDescent="0.3">
      <c r="A233" s="26">
        <v>45645</v>
      </c>
      <c r="B233" s="6">
        <v>19321</v>
      </c>
      <c r="C233" s="6">
        <v>19756</v>
      </c>
      <c r="D233" s="6">
        <v>19321</v>
      </c>
      <c r="E233" s="6">
        <v>19611</v>
      </c>
      <c r="F233" s="6">
        <v>141800</v>
      </c>
      <c r="G233" s="7">
        <f t="shared" ref="G233:H233" si="230">(E233-E232)/E232</f>
        <v>1.5009575073753946E-2</v>
      </c>
      <c r="H233" s="7">
        <f t="shared" si="230"/>
        <v>5.663189269746647E-2</v>
      </c>
      <c r="I233" s="8">
        <f>IF(COUNTIF(Event_Rumor!$B$2:$B$9,A233)&gt;0,1,0)</f>
        <v>0</v>
      </c>
      <c r="J233" s="8" t="str">
        <f t="array" ref="J2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3" s="8" t="str">
        <f t="array" ref="K233">IF(I233=1,"Event",IF(J233="-","Normal",IF(INDEX(Event_Rumor!$G$2:$G$9,MATCH(J233,Event_Rumor!$A$2:$A$9,0))&gt;ROW(),"Pre","Post")))</f>
        <v>Normal</v>
      </c>
      <c r="L233" s="11" t="str">
        <f t="array" ref="L233">IF(J233="-","-",INDEX(Event_Rumor!$E$2:$E$9,MATCH(J233,Event_Rumor!$A$2:$A$9,0)))</f>
        <v>-</v>
      </c>
    </row>
    <row r="234" spans="1:12" ht="15" customHeight="1" x14ac:dyDescent="0.3">
      <c r="A234" s="26">
        <v>45646</v>
      </c>
      <c r="B234" s="6">
        <v>19611</v>
      </c>
      <c r="C234" s="6">
        <v>19707</v>
      </c>
      <c r="D234" s="6">
        <v>19321</v>
      </c>
      <c r="E234" s="6">
        <v>19683</v>
      </c>
      <c r="F234" s="6">
        <v>146200</v>
      </c>
      <c r="G234" s="7">
        <f t="shared" ref="G234:H234" si="231">(E234-E233)/E233</f>
        <v>3.6714089031665903E-3</v>
      </c>
      <c r="H234" s="7">
        <f t="shared" si="231"/>
        <v>3.1029619181946404E-2</v>
      </c>
      <c r="I234" s="8">
        <f>IF(COUNTIF(Event_Rumor!$B$2:$B$9,A234)&gt;0,1,0)</f>
        <v>0</v>
      </c>
      <c r="J234" s="8" t="str">
        <f t="array" ref="J2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4" s="8" t="str">
        <f t="array" ref="K234">IF(I234=1,"Event",IF(J234="-","Normal",IF(INDEX(Event_Rumor!$G$2:$G$9,MATCH(J234,Event_Rumor!$A$2:$A$9,0))&gt;ROW(),"Pre","Post")))</f>
        <v>Normal</v>
      </c>
      <c r="L234" s="11" t="str">
        <f t="array" ref="L234">IF(J234="-","-",INDEX(Event_Rumor!$E$2:$E$9,MATCH(J234,Event_Rumor!$A$2:$A$9,0)))</f>
        <v>-</v>
      </c>
    </row>
    <row r="235" spans="1:12" ht="15" customHeight="1" x14ac:dyDescent="0.3">
      <c r="A235" s="26">
        <v>45649</v>
      </c>
      <c r="B235" s="6">
        <v>19683</v>
      </c>
      <c r="C235" s="6">
        <v>19780</v>
      </c>
      <c r="D235" s="6">
        <v>19249</v>
      </c>
      <c r="E235" s="6">
        <v>19635</v>
      </c>
      <c r="F235" s="6">
        <v>119300</v>
      </c>
      <c r="G235" s="7">
        <f t="shared" ref="G235:H235" si="232">(E235-E234)/E234</f>
        <v>-2.4386526444139613E-3</v>
      </c>
      <c r="H235" s="7">
        <f t="shared" si="232"/>
        <v>-0.18399452804377564</v>
      </c>
      <c r="I235" s="8">
        <f>IF(COUNTIF(Event_Rumor!$B$2:$B$9,A235)&gt;0,1,0)</f>
        <v>0</v>
      </c>
      <c r="J235" s="8" t="str">
        <f t="array" ref="J2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5" s="8" t="str">
        <f t="array" ref="K235">IF(I235=1,"Event",IF(J235="-","Normal",IF(INDEX(Event_Rumor!$G$2:$G$9,MATCH(J235,Event_Rumor!$A$2:$A$9,0))&gt;ROW(),"Pre","Post")))</f>
        <v>Normal</v>
      </c>
      <c r="L235" s="11" t="str">
        <f t="array" ref="L235">IF(J235="-","-",INDEX(Event_Rumor!$E$2:$E$9,MATCH(J235,Event_Rumor!$A$2:$A$9,0)))</f>
        <v>-</v>
      </c>
    </row>
    <row r="236" spans="1:12" ht="15" customHeight="1" x14ac:dyDescent="0.3">
      <c r="A236" s="26">
        <v>45650</v>
      </c>
      <c r="B236" s="6">
        <v>19635</v>
      </c>
      <c r="C236" s="6">
        <v>19707</v>
      </c>
      <c r="D236" s="6">
        <v>19393</v>
      </c>
      <c r="E236" s="6">
        <v>19659</v>
      </c>
      <c r="F236" s="6">
        <v>79600</v>
      </c>
      <c r="G236" s="7">
        <f t="shared" ref="G236:H236" si="233">(E236-E235)/E235</f>
        <v>1.2223071046600458E-3</v>
      </c>
      <c r="H236" s="7">
        <f t="shared" si="233"/>
        <v>-0.33277451802179381</v>
      </c>
      <c r="I236" s="8">
        <f>IF(COUNTIF(Event_Rumor!$B$2:$B$9,A236)&gt;0,1,0)</f>
        <v>0</v>
      </c>
      <c r="J236" s="8" t="str">
        <f t="array" ref="J2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6" s="8" t="str">
        <f t="array" ref="K236">IF(I236=1,"Event",IF(J236="-","Normal",IF(INDEX(Event_Rumor!$G$2:$G$9,MATCH(J236,Event_Rumor!$A$2:$A$9,0))&gt;ROW(),"Pre","Post")))</f>
        <v>Normal</v>
      </c>
      <c r="L236" s="11" t="str">
        <f t="array" ref="L236">IF(J236="-","-",INDEX(Event_Rumor!$E$2:$E$9,MATCH(J236,Event_Rumor!$A$2:$A$9,0)))</f>
        <v>-</v>
      </c>
    </row>
    <row r="237" spans="1:12" ht="15" customHeight="1" x14ac:dyDescent="0.3">
      <c r="A237" s="26">
        <v>45653</v>
      </c>
      <c r="B237" s="6">
        <v>19659</v>
      </c>
      <c r="C237" s="6">
        <v>19707</v>
      </c>
      <c r="D237" s="6">
        <v>19442</v>
      </c>
      <c r="E237" s="6">
        <v>19514</v>
      </c>
      <c r="F237" s="6">
        <v>80400</v>
      </c>
      <c r="G237" s="7">
        <f t="shared" ref="G237:H237" si="234">(E237-E236)/E236</f>
        <v>-7.3757566508978077E-3</v>
      </c>
      <c r="H237" s="7">
        <f t="shared" si="234"/>
        <v>1.0050251256281407E-2</v>
      </c>
      <c r="I237" s="8">
        <f>IF(COUNTIF(Event_Rumor!$B$2:$B$9,A237)&gt;0,1,0)</f>
        <v>0</v>
      </c>
      <c r="J237" s="8" t="str">
        <f t="array" ref="J2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7" s="8" t="str">
        <f t="array" ref="K237">IF(I237=1,"Event",IF(J237="-","Normal",IF(INDEX(Event_Rumor!$G$2:$G$9,MATCH(J237,Event_Rumor!$A$2:$A$9,0))&gt;ROW(),"Pre","Post")))</f>
        <v>Normal</v>
      </c>
      <c r="L237" s="11" t="str">
        <f t="array" ref="L237">IF(J237="-","-",INDEX(Event_Rumor!$E$2:$E$9,MATCH(J237,Event_Rumor!$A$2:$A$9,0)))</f>
        <v>-</v>
      </c>
    </row>
    <row r="238" spans="1:12" ht="15" customHeight="1" x14ac:dyDescent="0.3">
      <c r="A238" s="26">
        <v>45656</v>
      </c>
      <c r="B238" s="6">
        <v>19659</v>
      </c>
      <c r="C238" s="6">
        <v>19707</v>
      </c>
      <c r="D238" s="6">
        <v>19321</v>
      </c>
      <c r="E238" s="6">
        <v>19563</v>
      </c>
      <c r="F238" s="6">
        <v>152900</v>
      </c>
      <c r="G238" s="7">
        <f t="shared" ref="G238:H238" si="235">(E238-E237)/E237</f>
        <v>2.5110177308598955E-3</v>
      </c>
      <c r="H238" s="7">
        <f t="shared" si="235"/>
        <v>0.90174129353233834</v>
      </c>
      <c r="I238" s="8">
        <f>IF(COUNTIF(Event_Rumor!$B$2:$B$9,A238)&gt;0,1,0)</f>
        <v>0</v>
      </c>
      <c r="J238" s="8" t="str">
        <f t="array" ref="J2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8" s="8" t="str">
        <f t="array" ref="K238">IF(I238=1,"Event",IF(J238="-","Normal",IF(INDEX(Event_Rumor!$G$2:$G$9,MATCH(J238,Event_Rumor!$A$2:$A$9,0))&gt;ROW(),"Pre","Post")))</f>
        <v>Normal</v>
      </c>
      <c r="L238" s="11" t="str">
        <f t="array" ref="L238">IF(J238="-","-",INDEX(Event_Rumor!$E$2:$E$9,MATCH(J238,Event_Rumor!$A$2:$A$9,0)))</f>
        <v>-</v>
      </c>
    </row>
    <row r="239" spans="1:12" ht="15" customHeight="1" x14ac:dyDescent="0.3">
      <c r="A239" s="26">
        <v>45659</v>
      </c>
      <c r="B239" s="6">
        <v>19587</v>
      </c>
      <c r="C239" s="6">
        <v>19973</v>
      </c>
      <c r="D239" s="6">
        <v>19369</v>
      </c>
      <c r="E239" s="6">
        <v>19973</v>
      </c>
      <c r="F239" s="6">
        <v>144000</v>
      </c>
      <c r="G239" s="7">
        <f t="shared" ref="G239:H239" si="236">(E239-E238)/E238</f>
        <v>2.0957930787711496E-2</v>
      </c>
      <c r="H239" s="7">
        <f t="shared" si="236"/>
        <v>-5.8207979071288427E-2</v>
      </c>
      <c r="I239" s="8">
        <f>IF(COUNTIF(Event_Rumor!$B$2:$B$9,A239)&gt;0,1,0)</f>
        <v>0</v>
      </c>
      <c r="J239" s="8" t="str">
        <f t="array" ref="J2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39" s="8" t="str">
        <f t="array" ref="K239">IF(I239=1,"Event",IF(J239="-","Normal",IF(INDEX(Event_Rumor!$G$2:$G$9,MATCH(J239,Event_Rumor!$A$2:$A$9,0))&gt;ROW(),"Pre","Post")))</f>
        <v>Normal</v>
      </c>
      <c r="L239" s="11" t="str">
        <f t="array" ref="L239">IF(J239="-","-",INDEX(Event_Rumor!$E$2:$E$9,MATCH(J239,Event_Rumor!$A$2:$A$9,0)))</f>
        <v>-</v>
      </c>
    </row>
    <row r="240" spans="1:12" ht="15" customHeight="1" x14ac:dyDescent="0.3">
      <c r="A240" s="26">
        <v>45660</v>
      </c>
      <c r="B240" s="6">
        <v>19949</v>
      </c>
      <c r="C240" s="6">
        <v>19949</v>
      </c>
      <c r="D240" s="6">
        <v>19587</v>
      </c>
      <c r="E240" s="6">
        <v>19925</v>
      </c>
      <c r="F240" s="6">
        <v>71800</v>
      </c>
      <c r="G240" s="7">
        <f t="shared" ref="G240:H240" si="237">(E240-E239)/E239</f>
        <v>-2.4032443799128825E-3</v>
      </c>
      <c r="H240" s="7">
        <f t="shared" si="237"/>
        <v>-0.50138888888888888</v>
      </c>
      <c r="I240" s="8">
        <f>IF(COUNTIF(Event_Rumor!$B$2:$B$9,A240)&gt;0,1,0)</f>
        <v>0</v>
      </c>
      <c r="J240" s="8" t="str">
        <f t="array" ref="J2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0" s="8" t="str">
        <f t="array" ref="K240">IF(I240=1,"Event",IF(J240="-","Normal",IF(INDEX(Event_Rumor!$G$2:$G$9,MATCH(J240,Event_Rumor!$A$2:$A$9,0))&gt;ROW(),"Pre","Post")))</f>
        <v>Normal</v>
      </c>
      <c r="L240" s="11" t="str">
        <f t="array" ref="L240">IF(J240="-","-",INDEX(Event_Rumor!$E$2:$E$9,MATCH(J240,Event_Rumor!$A$2:$A$9,0)))</f>
        <v>-</v>
      </c>
    </row>
    <row r="241" spans="1:12" ht="15" customHeight="1" x14ac:dyDescent="0.3">
      <c r="A241" s="26">
        <v>45663</v>
      </c>
      <c r="B241" s="6">
        <v>19925</v>
      </c>
      <c r="C241" s="6">
        <v>19949</v>
      </c>
      <c r="D241" s="6">
        <v>19369</v>
      </c>
      <c r="E241" s="6">
        <v>19369</v>
      </c>
      <c r="F241" s="6">
        <v>82900</v>
      </c>
      <c r="G241" s="7">
        <f t="shared" ref="G241:H241" si="238">(E241-E240)/E240</f>
        <v>-2.7904642409033877E-2</v>
      </c>
      <c r="H241" s="7">
        <f t="shared" si="238"/>
        <v>0.15459610027855153</v>
      </c>
      <c r="I241" s="8">
        <f>IF(COUNTIF(Event_Rumor!$B$2:$B$9,A241)&gt;0,1,0)</f>
        <v>0</v>
      </c>
      <c r="J241" s="8" t="str">
        <f t="array" ref="J2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1" s="8" t="str">
        <f t="array" ref="K241">IF(I241=1,"Event",IF(J241="-","Normal",IF(INDEX(Event_Rumor!$G$2:$G$9,MATCH(J241,Event_Rumor!$A$2:$A$9,0))&gt;ROW(),"Pre","Post")))</f>
        <v>Normal</v>
      </c>
      <c r="L241" s="11" t="str">
        <f t="array" ref="L241">IF(J241="-","-",INDEX(Event_Rumor!$E$2:$E$9,MATCH(J241,Event_Rumor!$A$2:$A$9,0)))</f>
        <v>-</v>
      </c>
    </row>
    <row r="242" spans="1:12" ht="15" customHeight="1" x14ac:dyDescent="0.3">
      <c r="A242" s="26">
        <v>45664</v>
      </c>
      <c r="B242" s="6">
        <v>19369</v>
      </c>
      <c r="C242" s="6">
        <v>19587</v>
      </c>
      <c r="D242" s="6">
        <v>18910</v>
      </c>
      <c r="E242" s="6">
        <v>19369</v>
      </c>
      <c r="F242" s="6">
        <v>107100</v>
      </c>
      <c r="G242" s="7">
        <f t="shared" ref="G242:H242" si="239">(E242-E241)/E241</f>
        <v>0</v>
      </c>
      <c r="H242" s="7">
        <f t="shared" si="239"/>
        <v>0.29191797346200243</v>
      </c>
      <c r="I242" s="8">
        <f>IF(COUNTIF(Event_Rumor!$B$2:$B$9,A242)&gt;0,1,0)</f>
        <v>0</v>
      </c>
      <c r="J242" s="8" t="str">
        <f t="array" ref="J2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2" s="8" t="str">
        <f t="array" ref="K242">IF(I242=1,"Event",IF(J242="-","Normal",IF(INDEX(Event_Rumor!$G$2:$G$9,MATCH(J242,Event_Rumor!$A$2:$A$9,0))&gt;ROW(),"Pre","Post")))</f>
        <v>Normal</v>
      </c>
      <c r="L242" s="11" t="str">
        <f t="array" ref="L242">IF(J242="-","-",INDEX(Event_Rumor!$E$2:$E$9,MATCH(J242,Event_Rumor!$A$2:$A$9,0)))</f>
        <v>-</v>
      </c>
    </row>
    <row r="243" spans="1:12" ht="15" customHeight="1" x14ac:dyDescent="0.3">
      <c r="A243" s="26">
        <v>45665</v>
      </c>
      <c r="B243" s="6">
        <v>19369</v>
      </c>
      <c r="C243" s="6">
        <v>19369</v>
      </c>
      <c r="D243" s="6">
        <v>19055</v>
      </c>
      <c r="E243" s="6">
        <v>19369</v>
      </c>
      <c r="F243" s="6">
        <v>92500</v>
      </c>
      <c r="G243" s="7">
        <f t="shared" ref="G243:H243" si="240">(E243-E242)/E242</f>
        <v>0</v>
      </c>
      <c r="H243" s="7">
        <f t="shared" si="240"/>
        <v>-0.13632119514472454</v>
      </c>
      <c r="I243" s="8">
        <f>IF(COUNTIF(Event_Rumor!$B$2:$B$9,A243)&gt;0,1,0)</f>
        <v>0</v>
      </c>
      <c r="J243" s="8" t="str">
        <f t="array" ref="J2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3" s="8" t="str">
        <f t="array" ref="K243">IF(I243=1,"Event",IF(J243="-","Normal",IF(INDEX(Event_Rumor!$G$2:$G$9,MATCH(J243,Event_Rumor!$A$2:$A$9,0))&gt;ROW(),"Pre","Post")))</f>
        <v>Normal</v>
      </c>
      <c r="L243" s="11" t="str">
        <f t="array" ref="L243">IF(J243="-","-",INDEX(Event_Rumor!$E$2:$E$9,MATCH(J243,Event_Rumor!$A$2:$A$9,0)))</f>
        <v>-</v>
      </c>
    </row>
    <row r="244" spans="1:12" ht="15" customHeight="1" x14ac:dyDescent="0.3">
      <c r="A244" s="26">
        <v>45666</v>
      </c>
      <c r="B244" s="6">
        <v>19345</v>
      </c>
      <c r="C244" s="6">
        <v>19563</v>
      </c>
      <c r="D244" s="6">
        <v>19031</v>
      </c>
      <c r="E244" s="6">
        <v>19563</v>
      </c>
      <c r="F244" s="6">
        <v>67700</v>
      </c>
      <c r="G244" s="7">
        <f t="shared" ref="G244:H244" si="241">(E244-E243)/E243</f>
        <v>1.0016004956373586E-2</v>
      </c>
      <c r="H244" s="7">
        <f t="shared" si="241"/>
        <v>-0.26810810810810809</v>
      </c>
      <c r="I244" s="8">
        <f>IF(COUNTIF(Event_Rumor!$B$2:$B$9,A244)&gt;0,1,0)</f>
        <v>0</v>
      </c>
      <c r="J244" s="8" t="str">
        <f t="array" ref="J2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4" s="8" t="str">
        <f t="array" ref="K244">IF(I244=1,"Event",IF(J244="-","Normal",IF(INDEX(Event_Rumor!$G$2:$G$9,MATCH(J244,Event_Rumor!$A$2:$A$9,0))&gt;ROW(),"Pre","Post")))</f>
        <v>Normal</v>
      </c>
      <c r="L244" s="11" t="str">
        <f t="array" ref="L244">IF(J244="-","-",INDEX(Event_Rumor!$E$2:$E$9,MATCH(J244,Event_Rumor!$A$2:$A$9,0)))</f>
        <v>-</v>
      </c>
    </row>
    <row r="245" spans="1:12" ht="15" customHeight="1" x14ac:dyDescent="0.3">
      <c r="A245" s="26">
        <v>45667</v>
      </c>
      <c r="B245" s="6">
        <v>19273</v>
      </c>
      <c r="C245" s="6">
        <v>19901</v>
      </c>
      <c r="D245" s="6">
        <v>19249</v>
      </c>
      <c r="E245" s="6">
        <v>19901</v>
      </c>
      <c r="F245" s="6">
        <v>127300</v>
      </c>
      <c r="G245" s="7">
        <f t="shared" ref="G245:H245" si="242">(E245-E244)/E244</f>
        <v>1.7277513673771918E-2</v>
      </c>
      <c r="H245" s="7">
        <f t="shared" si="242"/>
        <v>0.88035450516986702</v>
      </c>
      <c r="I245" s="8">
        <f>IF(COUNTIF(Event_Rumor!$B$2:$B$9,A245)&gt;0,1,0)</f>
        <v>0</v>
      </c>
      <c r="J245" s="8" t="str">
        <f t="array" ref="J2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5" s="8" t="str">
        <f t="array" ref="K245">IF(I245=1,"Event",IF(J245="-","Normal",IF(INDEX(Event_Rumor!$G$2:$G$9,MATCH(J245,Event_Rumor!$A$2:$A$9,0))&gt;ROW(),"Pre","Post")))</f>
        <v>Normal</v>
      </c>
      <c r="L245" s="11" t="str">
        <f t="array" ref="L245">IF(J245="-","-",INDEX(Event_Rumor!$E$2:$E$9,MATCH(J245,Event_Rumor!$A$2:$A$9,0)))</f>
        <v>-</v>
      </c>
    </row>
    <row r="246" spans="1:12" ht="15" customHeight="1" x14ac:dyDescent="0.3">
      <c r="A246" s="26">
        <v>45670</v>
      </c>
      <c r="B246" s="6">
        <v>19852</v>
      </c>
      <c r="C246" s="6">
        <v>19925</v>
      </c>
      <c r="D246" s="6">
        <v>19514</v>
      </c>
      <c r="E246" s="6">
        <v>19925</v>
      </c>
      <c r="F246" s="6">
        <v>106600</v>
      </c>
      <c r="G246" s="7">
        <f t="shared" ref="G246:H246" si="243">(E246-E245)/E245</f>
        <v>1.2059695492688809E-3</v>
      </c>
      <c r="H246" s="7">
        <f t="shared" si="243"/>
        <v>-0.16260801256873528</v>
      </c>
      <c r="I246" s="8">
        <f>IF(COUNTIF(Event_Rumor!$B$2:$B$9,A246)&gt;0,1,0)</f>
        <v>0</v>
      </c>
      <c r="J246" s="8" t="str">
        <f t="array" ref="J2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6" s="8" t="str">
        <f t="array" ref="K246">IF(I246=1,"Event",IF(J246="-","Normal",IF(INDEX(Event_Rumor!$G$2:$G$9,MATCH(J246,Event_Rumor!$A$2:$A$9,0))&gt;ROW(),"Pre","Post")))</f>
        <v>Normal</v>
      </c>
      <c r="L246" s="11" t="str">
        <f t="array" ref="L246">IF(J246="-","-",INDEX(Event_Rumor!$E$2:$E$9,MATCH(J246,Event_Rumor!$A$2:$A$9,0)))</f>
        <v>-</v>
      </c>
    </row>
    <row r="247" spans="1:12" ht="15" customHeight="1" x14ac:dyDescent="0.3">
      <c r="A247" s="26">
        <v>45671</v>
      </c>
      <c r="B247" s="6">
        <v>19925</v>
      </c>
      <c r="C247" s="6">
        <v>19925</v>
      </c>
      <c r="D247" s="6">
        <v>19659</v>
      </c>
      <c r="E247" s="6">
        <v>19683</v>
      </c>
      <c r="F247" s="6">
        <v>22200</v>
      </c>
      <c r="G247" s="7">
        <f t="shared" ref="G247:H247" si="244">(E247-E246)/E246</f>
        <v>-1.2145545796737767E-2</v>
      </c>
      <c r="H247" s="7">
        <f t="shared" si="244"/>
        <v>-0.79174484052532834</v>
      </c>
      <c r="I247" s="8">
        <f>IF(COUNTIF(Event_Rumor!$B$2:$B$9,A247)&gt;0,1,0)</f>
        <v>0</v>
      </c>
      <c r="J247" s="8" t="str">
        <f t="array" ref="J2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7" s="8" t="str">
        <f t="array" ref="K247">IF(I247=1,"Event",IF(J247="-","Normal",IF(INDEX(Event_Rumor!$G$2:$G$9,MATCH(J247,Event_Rumor!$A$2:$A$9,0))&gt;ROW(),"Pre","Post")))</f>
        <v>Normal</v>
      </c>
      <c r="L247" s="11" t="str">
        <f t="array" ref="L247">IF(J247="-","-",INDEX(Event_Rumor!$E$2:$E$9,MATCH(J247,Event_Rumor!$A$2:$A$9,0)))</f>
        <v>-</v>
      </c>
    </row>
    <row r="248" spans="1:12" ht="15" customHeight="1" x14ac:dyDescent="0.3">
      <c r="A248" s="26">
        <v>45672</v>
      </c>
      <c r="B248" s="6">
        <v>19707</v>
      </c>
      <c r="C248" s="6">
        <v>19804</v>
      </c>
      <c r="D248" s="6">
        <v>19683</v>
      </c>
      <c r="E248" s="6">
        <v>19804</v>
      </c>
      <c r="F248" s="6">
        <v>19100</v>
      </c>
      <c r="G248" s="7">
        <f t="shared" ref="G248:H248" si="245">(E248-E247)/E247</f>
        <v>6.1474368744601944E-3</v>
      </c>
      <c r="H248" s="7">
        <f t="shared" si="245"/>
        <v>-0.13963963963963963</v>
      </c>
      <c r="I248" s="8">
        <f>IF(COUNTIF(Event_Rumor!$B$2:$B$9,A248)&gt;0,1,0)</f>
        <v>0</v>
      </c>
      <c r="J248" s="8" t="str">
        <f t="array" ref="J2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8" s="8" t="str">
        <f t="array" ref="K248">IF(I248=1,"Event",IF(J248="-","Normal",IF(INDEX(Event_Rumor!$G$2:$G$9,MATCH(J248,Event_Rumor!$A$2:$A$9,0))&gt;ROW(),"Pre","Post")))</f>
        <v>Normal</v>
      </c>
      <c r="L248" s="11" t="str">
        <f t="array" ref="L248">IF(J248="-","-",INDEX(Event_Rumor!$E$2:$E$9,MATCH(J248,Event_Rumor!$A$2:$A$9,0)))</f>
        <v>-</v>
      </c>
    </row>
    <row r="249" spans="1:12" ht="15" customHeight="1" x14ac:dyDescent="0.3">
      <c r="A249" s="26">
        <v>45673</v>
      </c>
      <c r="B249" s="6">
        <v>19756</v>
      </c>
      <c r="C249" s="6">
        <v>19804</v>
      </c>
      <c r="D249" s="6">
        <v>19659</v>
      </c>
      <c r="E249" s="6">
        <v>19780</v>
      </c>
      <c r="F249" s="6">
        <v>27800</v>
      </c>
      <c r="G249" s="7">
        <f t="shared" ref="G249:H249" si="246">(E249-E248)/E248</f>
        <v>-1.211876388608362E-3</v>
      </c>
      <c r="H249" s="7">
        <f t="shared" si="246"/>
        <v>0.45549738219895286</v>
      </c>
      <c r="I249" s="8">
        <f>IF(COUNTIF(Event_Rumor!$B$2:$B$9,A249)&gt;0,1,0)</f>
        <v>0</v>
      </c>
      <c r="J249" s="8" t="str">
        <f t="array" ref="J2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49" s="8" t="str">
        <f t="array" ref="K249">IF(I249=1,"Event",IF(J249="-","Normal",IF(INDEX(Event_Rumor!$G$2:$G$9,MATCH(J249,Event_Rumor!$A$2:$A$9,0))&gt;ROW(),"Pre","Post")))</f>
        <v>Normal</v>
      </c>
      <c r="L249" s="11" t="str">
        <f t="array" ref="L249">IF(J249="-","-",INDEX(Event_Rumor!$E$2:$E$9,MATCH(J249,Event_Rumor!$A$2:$A$9,0)))</f>
        <v>-</v>
      </c>
    </row>
    <row r="250" spans="1:12" ht="15" customHeight="1" x14ac:dyDescent="0.3">
      <c r="A250" s="26">
        <v>45674</v>
      </c>
      <c r="B250" s="6">
        <v>19804</v>
      </c>
      <c r="C250" s="6">
        <v>19804</v>
      </c>
      <c r="D250" s="6">
        <v>19563</v>
      </c>
      <c r="E250" s="6">
        <v>19804</v>
      </c>
      <c r="F250" s="6">
        <v>73400</v>
      </c>
      <c r="G250" s="7">
        <f t="shared" ref="G250:H250" si="247">(E250-E249)/E249</f>
        <v>1.2133468149646107E-3</v>
      </c>
      <c r="H250" s="7">
        <f t="shared" si="247"/>
        <v>1.6402877697841727</v>
      </c>
      <c r="I250" s="8">
        <f>IF(COUNTIF(Event_Rumor!$B$2:$B$9,A250)&gt;0,1,0)</f>
        <v>0</v>
      </c>
      <c r="J250" s="8" t="str">
        <f t="array" ref="J2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0" s="8" t="str">
        <f t="array" ref="K250">IF(I250=1,"Event",IF(J250="-","Normal",IF(INDEX(Event_Rumor!$G$2:$G$9,MATCH(J250,Event_Rumor!$A$2:$A$9,0))&gt;ROW(),"Pre","Post")))</f>
        <v>Normal</v>
      </c>
      <c r="L250" s="11" t="str">
        <f t="array" ref="L250">IF(J250="-","-",INDEX(Event_Rumor!$E$2:$E$9,MATCH(J250,Event_Rumor!$A$2:$A$9,0)))</f>
        <v>-</v>
      </c>
    </row>
    <row r="251" spans="1:12" ht="15" customHeight="1" x14ac:dyDescent="0.3">
      <c r="A251" s="26">
        <v>45677</v>
      </c>
      <c r="B251" s="6">
        <v>19804</v>
      </c>
      <c r="C251" s="6">
        <v>19804</v>
      </c>
      <c r="D251" s="6">
        <v>19538</v>
      </c>
      <c r="E251" s="6">
        <v>19707</v>
      </c>
      <c r="F251" s="6">
        <v>39400</v>
      </c>
      <c r="G251" s="7">
        <f t="shared" ref="G251:H251" si="248">(E251-E250)/E250</f>
        <v>-4.8980004039587965E-3</v>
      </c>
      <c r="H251" s="7">
        <f t="shared" si="248"/>
        <v>-0.46321525885558584</v>
      </c>
      <c r="I251" s="8">
        <f>IF(COUNTIF(Event_Rumor!$B$2:$B$9,A251)&gt;0,1,0)</f>
        <v>0</v>
      </c>
      <c r="J251" s="8" t="str">
        <f t="array" ref="J2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1" s="8" t="str">
        <f t="array" ref="K251">IF(I251=1,"Event",IF(J251="-","Normal",IF(INDEX(Event_Rumor!$G$2:$G$9,MATCH(J251,Event_Rumor!$A$2:$A$9,0))&gt;ROW(),"Pre","Post")))</f>
        <v>Normal</v>
      </c>
      <c r="L251" s="11" t="str">
        <f t="array" ref="L251">IF(J251="-","-",INDEX(Event_Rumor!$E$2:$E$9,MATCH(J251,Event_Rumor!$A$2:$A$9,0)))</f>
        <v>-</v>
      </c>
    </row>
    <row r="252" spans="1:12" ht="15" customHeight="1" x14ac:dyDescent="0.3">
      <c r="A252" s="26">
        <v>45678</v>
      </c>
      <c r="B252" s="6">
        <v>19707</v>
      </c>
      <c r="C252" s="6">
        <v>19707</v>
      </c>
      <c r="D252" s="6">
        <v>19611</v>
      </c>
      <c r="E252" s="6">
        <v>19707</v>
      </c>
      <c r="F252" s="6">
        <v>23300</v>
      </c>
      <c r="G252" s="7">
        <f t="shared" ref="G252:H252" si="249">(E252-E251)/E251</f>
        <v>0</v>
      </c>
      <c r="H252" s="7">
        <f t="shared" si="249"/>
        <v>-0.40862944162436549</v>
      </c>
      <c r="I252" s="8">
        <f>IF(COUNTIF(Event_Rumor!$B$2:$B$9,A252)&gt;0,1,0)</f>
        <v>0</v>
      </c>
      <c r="J252" s="8" t="str">
        <f t="array" ref="J25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2" s="8" t="str">
        <f t="array" ref="K252">IF(I252=1,"Event",IF(J252="-","Normal",IF(INDEX(Event_Rumor!$G$2:$G$9,MATCH(J252,Event_Rumor!$A$2:$A$9,0))&gt;ROW(),"Pre","Post")))</f>
        <v>Normal</v>
      </c>
      <c r="L252" s="11" t="str">
        <f t="array" ref="L252">IF(J252="-","-",INDEX(Event_Rumor!$E$2:$E$9,MATCH(J252,Event_Rumor!$A$2:$A$9,0)))</f>
        <v>-</v>
      </c>
    </row>
    <row r="253" spans="1:12" ht="15" customHeight="1" x14ac:dyDescent="0.3">
      <c r="A253" s="26">
        <v>45679</v>
      </c>
      <c r="B253" s="6">
        <v>19659</v>
      </c>
      <c r="C253" s="6">
        <v>19732</v>
      </c>
      <c r="D253" s="6">
        <v>19635</v>
      </c>
      <c r="E253" s="6">
        <v>19683</v>
      </c>
      <c r="F253" s="6">
        <v>25200</v>
      </c>
      <c r="G253" s="7">
        <f t="shared" ref="G253:H253" si="250">(E253-E252)/E252</f>
        <v>-1.217841376160755E-3</v>
      </c>
      <c r="H253" s="7">
        <f t="shared" si="250"/>
        <v>8.15450643776824E-2</v>
      </c>
      <c r="I253" s="8">
        <f>IF(COUNTIF(Event_Rumor!$B$2:$B$9,A253)&gt;0,1,0)</f>
        <v>0</v>
      </c>
      <c r="J253" s="8" t="str">
        <f t="array" ref="J25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3" s="8" t="str">
        <f t="array" ref="K253">IF(I253=1,"Event",IF(J253="-","Normal",IF(INDEX(Event_Rumor!$G$2:$G$9,MATCH(J253,Event_Rumor!$A$2:$A$9,0))&gt;ROW(),"Pre","Post")))</f>
        <v>Normal</v>
      </c>
      <c r="L253" s="11" t="str">
        <f t="array" ref="L253">IF(J253="-","-",INDEX(Event_Rumor!$E$2:$E$9,MATCH(J253,Event_Rumor!$A$2:$A$9,0)))</f>
        <v>-</v>
      </c>
    </row>
    <row r="254" spans="1:12" ht="15" customHeight="1" x14ac:dyDescent="0.3">
      <c r="A254" s="26">
        <v>45680</v>
      </c>
      <c r="B254" s="6">
        <v>19683</v>
      </c>
      <c r="C254" s="6">
        <v>19707</v>
      </c>
      <c r="D254" s="6">
        <v>19611</v>
      </c>
      <c r="E254" s="6">
        <v>19707</v>
      </c>
      <c r="F254" s="6">
        <v>23500</v>
      </c>
      <c r="G254" s="7">
        <f t="shared" ref="G254:H254" si="251">(E254-E253)/E253</f>
        <v>1.2193263222069807E-3</v>
      </c>
      <c r="H254" s="7">
        <f t="shared" si="251"/>
        <v>-6.7460317460317457E-2</v>
      </c>
      <c r="I254" s="8">
        <f>IF(COUNTIF(Event_Rumor!$B$2:$B$9,A254)&gt;0,1,0)</f>
        <v>0</v>
      </c>
      <c r="J254" s="8" t="str">
        <f t="array" ref="J25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4" s="8" t="str">
        <f t="array" ref="K254">IF(I254=1,"Event",IF(J254="-","Normal",IF(INDEX(Event_Rumor!$G$2:$G$9,MATCH(J254,Event_Rumor!$A$2:$A$9,0))&gt;ROW(),"Pre","Post")))</f>
        <v>Normal</v>
      </c>
      <c r="L254" s="11" t="str">
        <f t="array" ref="L254">IF(J254="-","-",INDEX(Event_Rumor!$E$2:$E$9,MATCH(J254,Event_Rumor!$A$2:$A$9,0)))</f>
        <v>-</v>
      </c>
    </row>
    <row r="255" spans="1:12" ht="15" customHeight="1" x14ac:dyDescent="0.3">
      <c r="A255" s="26">
        <v>45681</v>
      </c>
      <c r="B255" s="6">
        <v>19683</v>
      </c>
      <c r="C255" s="6">
        <v>19732</v>
      </c>
      <c r="D255" s="6">
        <v>19514</v>
      </c>
      <c r="E255" s="6">
        <v>19732</v>
      </c>
      <c r="F255" s="6">
        <v>29400</v>
      </c>
      <c r="G255" s="7">
        <f t="shared" ref="G255:H255" si="252">(E255-E254)/E254</f>
        <v>1.2685847668341198E-3</v>
      </c>
      <c r="H255" s="7">
        <f t="shared" si="252"/>
        <v>0.25106382978723402</v>
      </c>
      <c r="I255" s="8">
        <f>IF(COUNTIF(Event_Rumor!$B$2:$B$9,A255)&gt;0,1,0)</f>
        <v>0</v>
      </c>
      <c r="J255" s="8" t="str">
        <f t="array" ref="J25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5" s="8" t="str">
        <f t="array" ref="K255">IF(I255=1,"Event",IF(J255="-","Normal",IF(INDEX(Event_Rumor!$G$2:$G$9,MATCH(J255,Event_Rumor!$A$2:$A$9,0))&gt;ROW(),"Pre","Post")))</f>
        <v>Normal</v>
      </c>
      <c r="L255" s="11" t="str">
        <f t="array" ref="L255">IF(J255="-","-",INDEX(Event_Rumor!$E$2:$E$9,MATCH(J255,Event_Rumor!$A$2:$A$9,0)))</f>
        <v>-</v>
      </c>
    </row>
    <row r="256" spans="1:12" ht="15" customHeight="1" x14ac:dyDescent="0.3">
      <c r="A256" s="26">
        <v>45687</v>
      </c>
      <c r="B256" s="6">
        <v>19635</v>
      </c>
      <c r="C256" s="6">
        <v>19756</v>
      </c>
      <c r="D256" s="6">
        <v>19514</v>
      </c>
      <c r="E256" s="6">
        <v>19707</v>
      </c>
      <c r="F256" s="6">
        <v>68700</v>
      </c>
      <c r="G256" s="7">
        <f t="shared" ref="G256:H256" si="253">(E256-E255)/E255</f>
        <v>-1.266977498479627E-3</v>
      </c>
      <c r="H256" s="7">
        <f t="shared" si="253"/>
        <v>1.3367346938775511</v>
      </c>
      <c r="I256" s="8">
        <f>IF(COUNTIF(Event_Rumor!$B$2:$B$9,A256)&gt;0,1,0)</f>
        <v>0</v>
      </c>
      <c r="J256" s="8" t="str">
        <f t="array" ref="J25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6" s="8" t="str">
        <f t="array" ref="K256">IF(I256=1,"Event",IF(J256="-","Normal",IF(INDEX(Event_Rumor!$G$2:$G$9,MATCH(J256,Event_Rumor!$A$2:$A$9,0))&gt;ROW(),"Pre","Post")))</f>
        <v>Normal</v>
      </c>
      <c r="L256" s="11" t="str">
        <f t="array" ref="L256">IF(J256="-","-",INDEX(Event_Rumor!$E$2:$E$9,MATCH(J256,Event_Rumor!$A$2:$A$9,0)))</f>
        <v>-</v>
      </c>
    </row>
    <row r="257" spans="1:12" ht="15" customHeight="1" x14ac:dyDescent="0.3">
      <c r="A257" s="26">
        <v>45688</v>
      </c>
      <c r="B257" s="6">
        <v>19683</v>
      </c>
      <c r="C257" s="6">
        <v>19732</v>
      </c>
      <c r="D257" s="6">
        <v>19611</v>
      </c>
      <c r="E257" s="6">
        <v>19732</v>
      </c>
      <c r="F257" s="6">
        <v>53100</v>
      </c>
      <c r="G257" s="7">
        <f t="shared" ref="G257:H257" si="254">(E257-E256)/E256</f>
        <v>1.2685847668341198E-3</v>
      </c>
      <c r="H257" s="7">
        <f t="shared" si="254"/>
        <v>-0.22707423580786026</v>
      </c>
      <c r="I257" s="8">
        <f>IF(COUNTIF(Event_Rumor!$B$2:$B$9,A257)&gt;0,1,0)</f>
        <v>0</v>
      </c>
      <c r="J257" s="8" t="str">
        <f t="array" ref="J25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7" s="8" t="str">
        <f t="array" ref="K257">IF(I257=1,"Event",IF(J257="-","Normal",IF(INDEX(Event_Rumor!$G$2:$G$9,MATCH(J257,Event_Rumor!$A$2:$A$9,0))&gt;ROW(),"Pre","Post")))</f>
        <v>Normal</v>
      </c>
      <c r="L257" s="11" t="str">
        <f t="array" ref="L257">IF(J257="-","-",INDEX(Event_Rumor!$E$2:$E$9,MATCH(J257,Event_Rumor!$A$2:$A$9,0)))</f>
        <v>-</v>
      </c>
    </row>
    <row r="258" spans="1:12" ht="15" customHeight="1" x14ac:dyDescent="0.3">
      <c r="A258" s="26">
        <v>45691</v>
      </c>
      <c r="B258" s="6">
        <v>19683</v>
      </c>
      <c r="C258" s="6">
        <v>19683</v>
      </c>
      <c r="D258" s="6">
        <v>19538</v>
      </c>
      <c r="E258" s="6">
        <v>19611</v>
      </c>
      <c r="F258" s="6">
        <v>29200</v>
      </c>
      <c r="G258" s="7">
        <f t="shared" ref="G258:H258" si="255">(E258-E257)/E257</f>
        <v>-6.1321710926413951E-3</v>
      </c>
      <c r="H258" s="7">
        <f t="shared" si="255"/>
        <v>-0.45009416195856872</v>
      </c>
      <c r="I258" s="8">
        <f>IF(COUNTIF(Event_Rumor!$B$2:$B$9,A258)&gt;0,1,0)</f>
        <v>0</v>
      </c>
      <c r="J258" s="8" t="str">
        <f t="array" ref="J25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8" s="8" t="str">
        <f t="array" ref="K258">IF(I258=1,"Event",IF(J258="-","Normal",IF(INDEX(Event_Rumor!$G$2:$G$9,MATCH(J258,Event_Rumor!$A$2:$A$9,0))&gt;ROW(),"Pre","Post")))</f>
        <v>Normal</v>
      </c>
      <c r="L258" s="11" t="str">
        <f t="array" ref="L258">IF(J258="-","-",INDEX(Event_Rumor!$E$2:$E$9,MATCH(J258,Event_Rumor!$A$2:$A$9,0)))</f>
        <v>-</v>
      </c>
    </row>
    <row r="259" spans="1:12" ht="15" customHeight="1" x14ac:dyDescent="0.3">
      <c r="A259" s="26">
        <v>45692</v>
      </c>
      <c r="B259" s="6">
        <v>19514</v>
      </c>
      <c r="C259" s="6">
        <v>19659</v>
      </c>
      <c r="D259" s="6">
        <v>19490</v>
      </c>
      <c r="E259" s="6">
        <v>19659</v>
      </c>
      <c r="F259" s="6">
        <v>27000</v>
      </c>
      <c r="G259" s="7">
        <f t="shared" ref="G259:H259" si="256">(E259-E258)/E258</f>
        <v>2.4476059354443937E-3</v>
      </c>
      <c r="H259" s="7">
        <f t="shared" si="256"/>
        <v>-7.5342465753424653E-2</v>
      </c>
      <c r="I259" s="8">
        <f>IF(COUNTIF(Event_Rumor!$B$2:$B$9,A259)&gt;0,1,0)</f>
        <v>0</v>
      </c>
      <c r="J259" s="8" t="str">
        <f t="array" ref="J25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59" s="8" t="str">
        <f t="array" ref="K259">IF(I259=1,"Event",IF(J259="-","Normal",IF(INDEX(Event_Rumor!$G$2:$G$9,MATCH(J259,Event_Rumor!$A$2:$A$9,0))&gt;ROW(),"Pre","Post")))</f>
        <v>Normal</v>
      </c>
      <c r="L259" s="11" t="str">
        <f t="array" ref="L259">IF(J259="-","-",INDEX(Event_Rumor!$E$2:$E$9,MATCH(J259,Event_Rumor!$A$2:$A$9,0)))</f>
        <v>-</v>
      </c>
    </row>
    <row r="260" spans="1:12" ht="15" customHeight="1" x14ac:dyDescent="0.3">
      <c r="A260" s="26">
        <v>45693</v>
      </c>
      <c r="B260" s="6">
        <v>19514</v>
      </c>
      <c r="C260" s="6">
        <v>19683</v>
      </c>
      <c r="D260" s="6">
        <v>19442</v>
      </c>
      <c r="E260" s="6">
        <v>19683</v>
      </c>
      <c r="F260" s="6">
        <v>30400</v>
      </c>
      <c r="G260" s="7">
        <f t="shared" ref="G260:H260" si="257">(E260-E259)/E259</f>
        <v>1.220814893941706E-3</v>
      </c>
      <c r="H260" s="7">
        <f t="shared" si="257"/>
        <v>0.12592592592592591</v>
      </c>
      <c r="I260" s="8">
        <f>IF(COUNTIF(Event_Rumor!$B$2:$B$9,A260)&gt;0,1,0)</f>
        <v>0</v>
      </c>
      <c r="J260" s="8" t="str">
        <f t="array" ref="J26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0" s="8" t="str">
        <f t="array" ref="K260">IF(I260=1,"Event",IF(J260="-","Normal",IF(INDEX(Event_Rumor!$G$2:$G$9,MATCH(J260,Event_Rumor!$A$2:$A$9,0))&gt;ROW(),"Pre","Post")))</f>
        <v>Normal</v>
      </c>
      <c r="L260" s="11" t="str">
        <f t="array" ref="L260">IF(J260="-","-",INDEX(Event_Rumor!$E$2:$E$9,MATCH(J260,Event_Rumor!$A$2:$A$9,0)))</f>
        <v>-</v>
      </c>
    </row>
    <row r="261" spans="1:12" ht="15" customHeight="1" x14ac:dyDescent="0.3">
      <c r="A261" s="26">
        <v>45694</v>
      </c>
      <c r="B261" s="6">
        <v>19683</v>
      </c>
      <c r="C261" s="6">
        <v>19756</v>
      </c>
      <c r="D261" s="6">
        <v>19466</v>
      </c>
      <c r="E261" s="6">
        <v>19683</v>
      </c>
      <c r="F261" s="6">
        <v>50400</v>
      </c>
      <c r="G261" s="7">
        <f t="shared" ref="G261:H261" si="258">(E261-E260)/E260</f>
        <v>0</v>
      </c>
      <c r="H261" s="7">
        <f t="shared" si="258"/>
        <v>0.65789473684210531</v>
      </c>
      <c r="I261" s="8">
        <f>IF(COUNTIF(Event_Rumor!$B$2:$B$9,A261)&gt;0,1,0)</f>
        <v>0</v>
      </c>
      <c r="J261" s="8" t="str">
        <f t="array" ref="J26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1" s="8" t="str">
        <f t="array" ref="K261">IF(I261=1,"Event",IF(J261="-","Normal",IF(INDEX(Event_Rumor!$G$2:$G$9,MATCH(J261,Event_Rumor!$A$2:$A$9,0))&gt;ROW(),"Pre","Post")))</f>
        <v>Normal</v>
      </c>
      <c r="L261" s="11" t="str">
        <f t="array" ref="L261">IF(J261="-","-",INDEX(Event_Rumor!$E$2:$E$9,MATCH(J261,Event_Rumor!$A$2:$A$9,0)))</f>
        <v>-</v>
      </c>
    </row>
    <row r="262" spans="1:12" ht="15" customHeight="1" x14ac:dyDescent="0.3">
      <c r="A262" s="26">
        <v>45695</v>
      </c>
      <c r="B262" s="6">
        <v>19611</v>
      </c>
      <c r="C262" s="6">
        <v>19756</v>
      </c>
      <c r="D262" s="6">
        <v>19418</v>
      </c>
      <c r="E262" s="6">
        <v>19707</v>
      </c>
      <c r="F262" s="6">
        <v>87400</v>
      </c>
      <c r="G262" s="7">
        <f t="shared" ref="G262:H262" si="259">(E262-E261)/E261</f>
        <v>1.2193263222069807E-3</v>
      </c>
      <c r="H262" s="7">
        <f t="shared" si="259"/>
        <v>0.73412698412698407</v>
      </c>
      <c r="I262" s="8">
        <f>IF(COUNTIF(Event_Rumor!$B$2:$B$9,A262)&gt;0,1,0)</f>
        <v>0</v>
      </c>
      <c r="J262" s="8" t="str">
        <f t="array" ref="J26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2" s="8" t="str">
        <f t="array" ref="K262">IF(I262=1,"Event",IF(J262="-","Normal",IF(INDEX(Event_Rumor!$G$2:$G$9,MATCH(J262,Event_Rumor!$A$2:$A$9,0))&gt;ROW(),"Pre","Post")))</f>
        <v>Normal</v>
      </c>
      <c r="L262" s="11" t="str">
        <f t="array" ref="L262">IF(J262="-","-",INDEX(Event_Rumor!$E$2:$E$9,MATCH(J262,Event_Rumor!$A$2:$A$9,0)))</f>
        <v>-</v>
      </c>
    </row>
    <row r="263" spans="1:12" ht="15" customHeight="1" x14ac:dyDescent="0.3">
      <c r="A263" s="26">
        <v>45698</v>
      </c>
      <c r="B263" s="6">
        <v>19587</v>
      </c>
      <c r="C263" s="6">
        <v>19635</v>
      </c>
      <c r="D263" s="6">
        <v>19418</v>
      </c>
      <c r="E263" s="6">
        <v>19418</v>
      </c>
      <c r="F263" s="6">
        <v>14100</v>
      </c>
      <c r="G263" s="7">
        <f t="shared" ref="G263:H263" si="260">(E263-E262)/E262</f>
        <v>-1.4664839904602425E-2</v>
      </c>
      <c r="H263" s="7">
        <f t="shared" si="260"/>
        <v>-0.83867276887871856</v>
      </c>
      <c r="I263" s="8">
        <f>IF(COUNTIF(Event_Rumor!$B$2:$B$9,A263)&gt;0,1,0)</f>
        <v>0</v>
      </c>
      <c r="J263" s="8" t="str">
        <f t="array" ref="J26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3" s="8" t="str">
        <f t="array" ref="K263">IF(I263=1,"Event",IF(J263="-","Normal",IF(INDEX(Event_Rumor!$G$2:$G$9,MATCH(J263,Event_Rumor!$A$2:$A$9,0))&gt;ROW(),"Pre","Post")))</f>
        <v>Normal</v>
      </c>
      <c r="L263" s="11" t="str">
        <f t="array" ref="L263">IF(J263="-","-",INDEX(Event_Rumor!$E$2:$E$9,MATCH(J263,Event_Rumor!$A$2:$A$9,0)))</f>
        <v>-</v>
      </c>
    </row>
    <row r="264" spans="1:12" ht="15" customHeight="1" x14ac:dyDescent="0.3">
      <c r="A264" s="26">
        <v>45699</v>
      </c>
      <c r="B264" s="6">
        <v>19418</v>
      </c>
      <c r="C264" s="6">
        <v>19514</v>
      </c>
      <c r="D264" s="6">
        <v>18717</v>
      </c>
      <c r="E264" s="6">
        <v>19466</v>
      </c>
      <c r="F264" s="6">
        <v>66300</v>
      </c>
      <c r="G264" s="7">
        <f t="shared" ref="G264:H264" si="261">(E264-E263)/E263</f>
        <v>2.4719332578020392E-3</v>
      </c>
      <c r="H264" s="7">
        <f t="shared" si="261"/>
        <v>3.7021276595744679</v>
      </c>
      <c r="I264" s="8">
        <f>IF(COUNTIF(Event_Rumor!$B$2:$B$9,A264)&gt;0,1,0)</f>
        <v>0</v>
      </c>
      <c r="J264" s="8" t="str">
        <f t="array" ref="J26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4" s="8" t="str">
        <f t="array" ref="K264">IF(I264=1,"Event",IF(J264="-","Normal",IF(INDEX(Event_Rumor!$G$2:$G$9,MATCH(J264,Event_Rumor!$A$2:$A$9,0))&gt;ROW(),"Pre","Post")))</f>
        <v>Normal</v>
      </c>
      <c r="L264" s="11" t="str">
        <f t="array" ref="L264">IF(J264="-","-",INDEX(Event_Rumor!$E$2:$E$9,MATCH(J264,Event_Rumor!$A$2:$A$9,0)))</f>
        <v>-</v>
      </c>
    </row>
    <row r="265" spans="1:12" ht="15" customHeight="1" x14ac:dyDescent="0.3">
      <c r="A265" s="26">
        <v>45700</v>
      </c>
      <c r="B265" s="6">
        <v>19418</v>
      </c>
      <c r="C265" s="6">
        <v>19514</v>
      </c>
      <c r="D265" s="6">
        <v>19345</v>
      </c>
      <c r="E265" s="6">
        <v>19514</v>
      </c>
      <c r="F265" s="6">
        <v>82500</v>
      </c>
      <c r="G265" s="7">
        <f t="shared" ref="G265:H265" si="262">(E265-E264)/E264</f>
        <v>2.4658378711599712E-3</v>
      </c>
      <c r="H265" s="7">
        <f t="shared" si="262"/>
        <v>0.24434389140271492</v>
      </c>
      <c r="I265" s="8">
        <f>IF(COUNTIF(Event_Rumor!$B$2:$B$9,A265)&gt;0,1,0)</f>
        <v>0</v>
      </c>
      <c r="J265" s="8" t="str">
        <f t="array" ref="J26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5" s="8" t="str">
        <f t="array" ref="K265">IF(I265=1,"Event",IF(J265="-","Normal",IF(INDEX(Event_Rumor!$G$2:$G$9,MATCH(J265,Event_Rumor!$A$2:$A$9,0))&gt;ROW(),"Pre","Post")))</f>
        <v>Normal</v>
      </c>
      <c r="L265" s="11" t="str">
        <f t="array" ref="L265">IF(J265="-","-",INDEX(Event_Rumor!$E$2:$E$9,MATCH(J265,Event_Rumor!$A$2:$A$9,0)))</f>
        <v>-</v>
      </c>
    </row>
    <row r="266" spans="1:12" ht="15" customHeight="1" x14ac:dyDescent="0.3">
      <c r="A266" s="26">
        <v>45701</v>
      </c>
      <c r="B266" s="6">
        <v>19466</v>
      </c>
      <c r="C266" s="6">
        <v>19514</v>
      </c>
      <c r="D266" s="6">
        <v>19393</v>
      </c>
      <c r="E266" s="6">
        <v>19514</v>
      </c>
      <c r="F266" s="6">
        <v>47100</v>
      </c>
      <c r="G266" s="7">
        <f t="shared" ref="G266:H266" si="263">(E266-E265)/E265</f>
        <v>0</v>
      </c>
      <c r="H266" s="7">
        <f t="shared" si="263"/>
        <v>-0.42909090909090908</v>
      </c>
      <c r="I266" s="8">
        <f>IF(COUNTIF(Event_Rumor!$B$2:$B$9,A266)&gt;0,1,0)</f>
        <v>0</v>
      </c>
      <c r="J266" s="8" t="str">
        <f t="array" ref="J26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6" s="8" t="str">
        <f t="array" ref="K266">IF(I266=1,"Event",IF(J266="-","Normal",IF(INDEX(Event_Rumor!$G$2:$G$9,MATCH(J266,Event_Rumor!$A$2:$A$9,0))&gt;ROW(),"Pre","Post")))</f>
        <v>Normal</v>
      </c>
      <c r="L266" s="11" t="str">
        <f t="array" ref="L266">IF(J266="-","-",INDEX(Event_Rumor!$E$2:$E$9,MATCH(J266,Event_Rumor!$A$2:$A$9,0)))</f>
        <v>-</v>
      </c>
    </row>
    <row r="267" spans="1:12" ht="15" customHeight="1" x14ac:dyDescent="0.3">
      <c r="A267" s="26">
        <v>45702</v>
      </c>
      <c r="B267" s="6">
        <v>19418</v>
      </c>
      <c r="C267" s="6">
        <v>19563</v>
      </c>
      <c r="D267" s="6">
        <v>19393</v>
      </c>
      <c r="E267" s="6">
        <v>19538</v>
      </c>
      <c r="F267" s="6">
        <v>109500</v>
      </c>
      <c r="G267" s="7">
        <f t="shared" ref="G267:H267" si="264">(E267-E266)/E266</f>
        <v>1.2298862355232141E-3</v>
      </c>
      <c r="H267" s="7">
        <f t="shared" si="264"/>
        <v>1.3248407643312101</v>
      </c>
      <c r="I267" s="8">
        <f>IF(COUNTIF(Event_Rumor!$B$2:$B$9,A267)&gt;0,1,0)</f>
        <v>0</v>
      </c>
      <c r="J267" s="8" t="str">
        <f t="array" ref="J26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7" s="8" t="str">
        <f t="array" ref="K267">IF(I267=1,"Event",IF(J267="-","Normal",IF(INDEX(Event_Rumor!$G$2:$G$9,MATCH(J267,Event_Rumor!$A$2:$A$9,0))&gt;ROW(),"Pre","Post")))</f>
        <v>Normal</v>
      </c>
      <c r="L267" s="11" t="str">
        <f t="array" ref="L267">IF(J267="-","-",INDEX(Event_Rumor!$E$2:$E$9,MATCH(J267,Event_Rumor!$A$2:$A$9,0)))</f>
        <v>-</v>
      </c>
    </row>
    <row r="268" spans="1:12" ht="15" customHeight="1" x14ac:dyDescent="0.3">
      <c r="A268" s="26">
        <v>45705</v>
      </c>
      <c r="B268" s="6">
        <v>19418</v>
      </c>
      <c r="C268" s="6">
        <v>19514</v>
      </c>
      <c r="D268" s="6">
        <v>19393</v>
      </c>
      <c r="E268" s="6">
        <v>19393</v>
      </c>
      <c r="F268" s="6">
        <v>17500</v>
      </c>
      <c r="G268" s="7">
        <f t="shared" ref="G268:H268" si="265">(E268-E267)/E267</f>
        <v>-7.4214351520114647E-3</v>
      </c>
      <c r="H268" s="7">
        <f t="shared" si="265"/>
        <v>-0.84018264840182644</v>
      </c>
      <c r="I268" s="8">
        <f>IF(COUNTIF(Event_Rumor!$B$2:$B$9,A268)&gt;0,1,0)</f>
        <v>0</v>
      </c>
      <c r="J268" s="8" t="str">
        <f t="array" ref="J26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8" s="8" t="str">
        <f t="array" ref="K268">IF(I268=1,"Event",IF(J268="-","Normal",IF(INDEX(Event_Rumor!$G$2:$G$9,MATCH(J268,Event_Rumor!$A$2:$A$9,0))&gt;ROW(),"Pre","Post")))</f>
        <v>Normal</v>
      </c>
      <c r="L268" s="11" t="str">
        <f t="array" ref="L268">IF(J268="-","-",INDEX(Event_Rumor!$E$2:$E$9,MATCH(J268,Event_Rumor!$A$2:$A$9,0)))</f>
        <v>-</v>
      </c>
    </row>
    <row r="269" spans="1:12" ht="15" customHeight="1" x14ac:dyDescent="0.3">
      <c r="A269" s="26">
        <v>45706</v>
      </c>
      <c r="B269" s="6">
        <v>19418</v>
      </c>
      <c r="C269" s="6">
        <v>19418</v>
      </c>
      <c r="D269" s="6">
        <v>19345</v>
      </c>
      <c r="E269" s="6">
        <v>19345</v>
      </c>
      <c r="F269" s="6">
        <v>25200</v>
      </c>
      <c r="G269" s="7">
        <f t="shared" ref="G269:H269" si="266">(E269-E268)/E268</f>
        <v>-2.475119888619605E-3</v>
      </c>
      <c r="H269" s="7">
        <f t="shared" si="266"/>
        <v>0.44</v>
      </c>
      <c r="I269" s="8">
        <f>IF(COUNTIF(Event_Rumor!$B$2:$B$9,A269)&gt;0,1,0)</f>
        <v>0</v>
      </c>
      <c r="J269" s="8" t="str">
        <f t="array" ref="J26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69" s="8" t="str">
        <f t="array" ref="K269">IF(I269=1,"Event",IF(J269="-","Normal",IF(INDEX(Event_Rumor!$G$2:$G$9,MATCH(J269,Event_Rumor!$A$2:$A$9,0))&gt;ROW(),"Pre","Post")))</f>
        <v>Normal</v>
      </c>
      <c r="L269" s="11" t="str">
        <f t="array" ref="L269">IF(J269="-","-",INDEX(Event_Rumor!$E$2:$E$9,MATCH(J269,Event_Rumor!$A$2:$A$9,0)))</f>
        <v>-</v>
      </c>
    </row>
    <row r="270" spans="1:12" ht="15" customHeight="1" x14ac:dyDescent="0.3">
      <c r="A270" s="26">
        <v>45707</v>
      </c>
      <c r="B270" s="6">
        <v>19345</v>
      </c>
      <c r="C270" s="6">
        <v>19418</v>
      </c>
      <c r="D270" s="6">
        <v>19297</v>
      </c>
      <c r="E270" s="6">
        <v>19418</v>
      </c>
      <c r="F270" s="6">
        <v>33600</v>
      </c>
      <c r="G270" s="7">
        <f t="shared" ref="G270:H270" si="267">(E270-E269)/E269</f>
        <v>3.7735849056603774E-3</v>
      </c>
      <c r="H270" s="7">
        <f t="shared" si="267"/>
        <v>0.33333333333333331</v>
      </c>
      <c r="I270" s="8">
        <f>IF(COUNTIF(Event_Rumor!$B$2:$B$9,A270)&gt;0,1,0)</f>
        <v>0</v>
      </c>
      <c r="J270" s="8" t="str">
        <f t="array" ref="J27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0" s="8" t="str">
        <f t="array" ref="K270">IF(I270=1,"Event",IF(J270="-","Normal",IF(INDEX(Event_Rumor!$G$2:$G$9,MATCH(J270,Event_Rumor!$A$2:$A$9,0))&gt;ROW(),"Pre","Post")))</f>
        <v>Normal</v>
      </c>
      <c r="L270" s="11" t="str">
        <f t="array" ref="L270">IF(J270="-","-",INDEX(Event_Rumor!$E$2:$E$9,MATCH(J270,Event_Rumor!$A$2:$A$9,0)))</f>
        <v>-</v>
      </c>
    </row>
    <row r="271" spans="1:12" ht="15" customHeight="1" x14ac:dyDescent="0.3">
      <c r="A271" s="26">
        <v>45708</v>
      </c>
      <c r="B271" s="6">
        <v>19393</v>
      </c>
      <c r="C271" s="6">
        <v>19442</v>
      </c>
      <c r="D271" s="6">
        <v>19321</v>
      </c>
      <c r="E271" s="6">
        <v>19418</v>
      </c>
      <c r="F271" s="6">
        <v>48700</v>
      </c>
      <c r="G271" s="7">
        <f t="shared" ref="G271:H271" si="268">(E271-E270)/E270</f>
        <v>0</v>
      </c>
      <c r="H271" s="7">
        <f t="shared" si="268"/>
        <v>0.44940476190476192</v>
      </c>
      <c r="I271" s="8">
        <f>IF(COUNTIF(Event_Rumor!$B$2:$B$9,A271)&gt;0,1,0)</f>
        <v>0</v>
      </c>
      <c r="J271" s="8" t="str">
        <f t="array" ref="J27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1" s="8" t="str">
        <f t="array" ref="K271">IF(I271=1,"Event",IF(J271="-","Normal",IF(INDEX(Event_Rumor!$G$2:$G$9,MATCH(J271,Event_Rumor!$A$2:$A$9,0))&gt;ROW(),"Pre","Post")))</f>
        <v>Normal</v>
      </c>
      <c r="L271" s="11" t="str">
        <f t="array" ref="L271">IF(J271="-","-",INDEX(Event_Rumor!$E$2:$E$9,MATCH(J271,Event_Rumor!$A$2:$A$9,0)))</f>
        <v>-</v>
      </c>
    </row>
    <row r="272" spans="1:12" ht="15" customHeight="1" x14ac:dyDescent="0.3">
      <c r="A272" s="26">
        <v>45709</v>
      </c>
      <c r="B272" s="6">
        <v>19321</v>
      </c>
      <c r="C272" s="6">
        <v>19418</v>
      </c>
      <c r="D272" s="6">
        <v>19297</v>
      </c>
      <c r="E272" s="6">
        <v>19321</v>
      </c>
      <c r="F272" s="6">
        <v>27000</v>
      </c>
      <c r="G272" s="7">
        <f t="shared" ref="G272:H272" si="269">(E272-E271)/E271</f>
        <v>-4.9953651251416209E-3</v>
      </c>
      <c r="H272" s="7">
        <f t="shared" si="269"/>
        <v>-0.44558521560574949</v>
      </c>
      <c r="I272" s="8">
        <f>IF(COUNTIF(Event_Rumor!$B$2:$B$9,A272)&gt;0,1,0)</f>
        <v>0</v>
      </c>
      <c r="J272" s="8" t="str">
        <f t="array" ref="J27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2" s="8" t="str">
        <f t="array" ref="K272">IF(I272=1,"Event",IF(J272="-","Normal",IF(INDEX(Event_Rumor!$G$2:$G$9,MATCH(J272,Event_Rumor!$A$2:$A$9,0))&gt;ROW(),"Pre","Post")))</f>
        <v>Normal</v>
      </c>
      <c r="L272" s="11" t="str">
        <f t="array" ref="L272">IF(J272="-","-",INDEX(Event_Rumor!$E$2:$E$9,MATCH(J272,Event_Rumor!$A$2:$A$9,0)))</f>
        <v>-</v>
      </c>
    </row>
    <row r="273" spans="1:12" ht="15" customHeight="1" x14ac:dyDescent="0.3">
      <c r="A273" s="26">
        <v>45712</v>
      </c>
      <c r="B273" s="6">
        <v>19321</v>
      </c>
      <c r="C273" s="6">
        <v>19321</v>
      </c>
      <c r="D273" s="6">
        <v>18572</v>
      </c>
      <c r="E273" s="6">
        <v>19055</v>
      </c>
      <c r="F273" s="6">
        <v>45600</v>
      </c>
      <c r="G273" s="7">
        <f t="shared" ref="G273:H273" si="270">(E273-E272)/E272</f>
        <v>-1.376740334351224E-2</v>
      </c>
      <c r="H273" s="7">
        <f t="shared" si="270"/>
        <v>0.68888888888888888</v>
      </c>
      <c r="I273" s="8">
        <f>IF(COUNTIF(Event_Rumor!$B$2:$B$9,A273)&gt;0,1,0)</f>
        <v>0</v>
      </c>
      <c r="J273" s="8" t="str">
        <f t="array" ref="J27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3" s="8" t="str">
        <f t="array" ref="K273">IF(I273=1,"Event",IF(J273="-","Normal",IF(INDEX(Event_Rumor!$G$2:$G$9,MATCH(J273,Event_Rumor!$A$2:$A$9,0))&gt;ROW(),"Pre","Post")))</f>
        <v>Normal</v>
      </c>
      <c r="L273" s="11" t="str">
        <f t="array" ref="L273">IF(J273="-","-",INDEX(Event_Rumor!$E$2:$E$9,MATCH(J273,Event_Rumor!$A$2:$A$9,0)))</f>
        <v>-</v>
      </c>
    </row>
    <row r="274" spans="1:12" ht="15" customHeight="1" x14ac:dyDescent="0.3">
      <c r="A274" s="26">
        <v>45713</v>
      </c>
      <c r="B274" s="6">
        <v>18814</v>
      </c>
      <c r="C274" s="6">
        <v>18983</v>
      </c>
      <c r="D274" s="6">
        <v>18645</v>
      </c>
      <c r="E274" s="6">
        <v>18838</v>
      </c>
      <c r="F274" s="6">
        <v>14100</v>
      </c>
      <c r="G274" s="7">
        <f t="shared" ref="G274:H274" si="271">(E274-E273)/E273</f>
        <v>-1.1388087116242456E-2</v>
      </c>
      <c r="H274" s="7">
        <f t="shared" si="271"/>
        <v>-0.69078947368421051</v>
      </c>
      <c r="I274" s="8">
        <f>IF(COUNTIF(Event_Rumor!$B$2:$B$9,A274)&gt;0,1,0)</f>
        <v>0</v>
      </c>
      <c r="J274" s="8" t="str">
        <f t="array" ref="J27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4" s="8" t="str">
        <f t="array" ref="K274">IF(I274=1,"Event",IF(J274="-","Normal",IF(INDEX(Event_Rumor!$G$2:$G$9,MATCH(J274,Event_Rumor!$A$2:$A$9,0))&gt;ROW(),"Pre","Post")))</f>
        <v>Normal</v>
      </c>
      <c r="L274" s="11" t="str">
        <f t="array" ref="L274">IF(J274="-","-",INDEX(Event_Rumor!$E$2:$E$9,MATCH(J274,Event_Rumor!$A$2:$A$9,0)))</f>
        <v>-</v>
      </c>
    </row>
    <row r="275" spans="1:12" ht="15" customHeight="1" x14ac:dyDescent="0.3">
      <c r="A275" s="26">
        <v>45714</v>
      </c>
      <c r="B275" s="6">
        <v>18645</v>
      </c>
      <c r="C275" s="6">
        <v>18838</v>
      </c>
      <c r="D275" s="6">
        <v>18379</v>
      </c>
      <c r="E275" s="6">
        <v>18452</v>
      </c>
      <c r="F275" s="6">
        <v>62900</v>
      </c>
      <c r="G275" s="7">
        <f t="shared" ref="G275:H275" si="272">(E275-E274)/E274</f>
        <v>-2.0490497929716529E-2</v>
      </c>
      <c r="H275" s="7">
        <f t="shared" si="272"/>
        <v>3.4609929078014185</v>
      </c>
      <c r="I275" s="8">
        <f>IF(COUNTIF(Event_Rumor!$B$2:$B$9,A275)&gt;0,1,0)</f>
        <v>0</v>
      </c>
      <c r="J275" s="8" t="str">
        <f t="array" ref="J27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5" s="8" t="str">
        <f t="array" ref="K275">IF(I275=1,"Event",IF(J275="-","Normal",IF(INDEX(Event_Rumor!$G$2:$G$9,MATCH(J275,Event_Rumor!$A$2:$A$9,0))&gt;ROW(),"Pre","Post")))</f>
        <v>Normal</v>
      </c>
      <c r="L275" s="11" t="str">
        <f t="array" ref="L275">IF(J275="-","-",INDEX(Event_Rumor!$E$2:$E$9,MATCH(J275,Event_Rumor!$A$2:$A$9,0)))</f>
        <v>-</v>
      </c>
    </row>
    <row r="276" spans="1:12" ht="15" customHeight="1" x14ac:dyDescent="0.3">
      <c r="A276" s="26">
        <v>45715</v>
      </c>
      <c r="B276" s="6">
        <v>18452</v>
      </c>
      <c r="C276" s="6">
        <v>18548</v>
      </c>
      <c r="D276" s="6">
        <v>18089</v>
      </c>
      <c r="E276" s="6">
        <v>18524</v>
      </c>
      <c r="F276" s="6">
        <v>51700</v>
      </c>
      <c r="G276" s="7">
        <f t="shared" ref="G276:H276" si="273">(E276-E275)/E275</f>
        <v>3.9020160416215043E-3</v>
      </c>
      <c r="H276" s="7">
        <f t="shared" si="273"/>
        <v>-0.17806041335453099</v>
      </c>
      <c r="I276" s="8">
        <f>IF(COUNTIF(Event_Rumor!$B$2:$B$9,A276)&gt;0,1,0)</f>
        <v>0</v>
      </c>
      <c r="J276" s="8" t="str">
        <f t="array" ref="J27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6" s="8" t="str">
        <f t="array" ref="K276">IF(I276=1,"Event",IF(J276="-","Normal",IF(INDEX(Event_Rumor!$G$2:$G$9,MATCH(J276,Event_Rumor!$A$2:$A$9,0))&gt;ROW(),"Pre","Post")))</f>
        <v>Normal</v>
      </c>
      <c r="L276" s="11" t="str">
        <f t="array" ref="L276">IF(J276="-","-",INDEX(Event_Rumor!$E$2:$E$9,MATCH(J276,Event_Rumor!$A$2:$A$9,0)))</f>
        <v>-</v>
      </c>
    </row>
    <row r="277" spans="1:12" ht="15" customHeight="1" x14ac:dyDescent="0.3">
      <c r="A277" s="26">
        <v>45716</v>
      </c>
      <c r="B277" s="6">
        <v>18838</v>
      </c>
      <c r="C277" s="6">
        <v>18838</v>
      </c>
      <c r="D277" s="6">
        <v>18355</v>
      </c>
      <c r="E277" s="6">
        <v>18621</v>
      </c>
      <c r="F277" s="6">
        <v>26400</v>
      </c>
      <c r="G277" s="7">
        <f t="shared" ref="G277:H277" si="274">(E277-E276)/E276</f>
        <v>5.2364500107968046E-3</v>
      </c>
      <c r="H277" s="7">
        <f t="shared" si="274"/>
        <v>-0.48936170212765956</v>
      </c>
      <c r="I277" s="8">
        <f>IF(COUNTIF(Event_Rumor!$B$2:$B$9,A277)&gt;0,1,0)</f>
        <v>0</v>
      </c>
      <c r="J277" s="8" t="str">
        <f t="array" ref="J27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7" s="8" t="str">
        <f t="array" ref="K277">IF(I277=1,"Event",IF(J277="-","Normal",IF(INDEX(Event_Rumor!$G$2:$G$9,MATCH(J277,Event_Rumor!$A$2:$A$9,0))&gt;ROW(),"Pre","Post")))</f>
        <v>Normal</v>
      </c>
      <c r="L277" s="11" t="str">
        <f t="array" ref="L277">IF(J277="-","-",INDEX(Event_Rumor!$E$2:$E$9,MATCH(J277,Event_Rumor!$A$2:$A$9,0)))</f>
        <v>-</v>
      </c>
    </row>
    <row r="278" spans="1:12" ht="15" customHeight="1" x14ac:dyDescent="0.3">
      <c r="A278" s="26">
        <v>45719</v>
      </c>
      <c r="B278" s="6">
        <v>18621</v>
      </c>
      <c r="C278" s="6">
        <v>19128</v>
      </c>
      <c r="D278" s="6">
        <v>18621</v>
      </c>
      <c r="E278" s="6">
        <v>19031</v>
      </c>
      <c r="F278" s="6">
        <v>81500</v>
      </c>
      <c r="G278" s="7">
        <f t="shared" ref="G278:H278" si="275">(E278-E277)/E277</f>
        <v>2.2018151549326029E-2</v>
      </c>
      <c r="H278" s="7">
        <f t="shared" si="275"/>
        <v>2.0871212121212119</v>
      </c>
      <c r="I278" s="8">
        <f>IF(COUNTIF(Event_Rumor!$B$2:$B$9,A278)&gt;0,1,0)</f>
        <v>0</v>
      </c>
      <c r="J278" s="8" t="str">
        <f t="array" ref="J27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8" s="8" t="str">
        <f t="array" ref="K278">IF(I278=1,"Event",IF(J278="-","Normal",IF(INDEX(Event_Rumor!$G$2:$G$9,MATCH(J278,Event_Rumor!$A$2:$A$9,0))&gt;ROW(),"Pre","Post")))</f>
        <v>Normal</v>
      </c>
      <c r="L278" s="11" t="str">
        <f t="array" ref="L278">IF(J278="-","-",INDEX(Event_Rumor!$E$2:$E$9,MATCH(J278,Event_Rumor!$A$2:$A$9,0)))</f>
        <v>-</v>
      </c>
    </row>
    <row r="279" spans="1:12" ht="15" customHeight="1" x14ac:dyDescent="0.3">
      <c r="A279" s="26">
        <v>45720</v>
      </c>
      <c r="B279" s="6">
        <v>19031</v>
      </c>
      <c r="C279" s="6">
        <v>19128</v>
      </c>
      <c r="D279" s="6">
        <v>17993</v>
      </c>
      <c r="E279" s="6">
        <v>18983</v>
      </c>
      <c r="F279" s="6">
        <v>27000</v>
      </c>
      <c r="G279" s="7">
        <f t="shared" ref="G279:H279" si="276">(E279-E278)/E278</f>
        <v>-2.5222006200409856E-3</v>
      </c>
      <c r="H279" s="7">
        <f t="shared" si="276"/>
        <v>-0.66871165644171782</v>
      </c>
      <c r="I279" s="8">
        <f>IF(COUNTIF(Event_Rumor!$B$2:$B$9,A279)&gt;0,1,0)</f>
        <v>0</v>
      </c>
      <c r="J279" s="8" t="str">
        <f t="array" ref="J27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79" s="8" t="str">
        <f t="array" ref="K279">IF(I279=1,"Event",IF(J279="-","Normal",IF(INDEX(Event_Rumor!$G$2:$G$9,MATCH(J279,Event_Rumor!$A$2:$A$9,0))&gt;ROW(),"Pre","Post")))</f>
        <v>Normal</v>
      </c>
      <c r="L279" s="11" t="str">
        <f t="array" ref="L279">IF(J279="-","-",INDEX(Event_Rumor!$E$2:$E$9,MATCH(J279,Event_Rumor!$A$2:$A$9,0)))</f>
        <v>-</v>
      </c>
    </row>
    <row r="280" spans="1:12" ht="15" customHeight="1" x14ac:dyDescent="0.3">
      <c r="A280" s="26">
        <v>45721</v>
      </c>
      <c r="B280" s="6">
        <v>19031</v>
      </c>
      <c r="C280" s="6">
        <v>19079</v>
      </c>
      <c r="D280" s="6">
        <v>18935</v>
      </c>
      <c r="E280" s="6">
        <v>19079</v>
      </c>
      <c r="F280" s="6">
        <v>33700</v>
      </c>
      <c r="G280" s="7">
        <f t="shared" ref="G280:H280" si="277">(E280-E279)/E279</f>
        <v>5.0571564030975086E-3</v>
      </c>
      <c r="H280" s="7">
        <f t="shared" si="277"/>
        <v>0.24814814814814815</v>
      </c>
      <c r="I280" s="8">
        <f>IF(COUNTIF(Event_Rumor!$B$2:$B$9,A280)&gt;0,1,0)</f>
        <v>0</v>
      </c>
      <c r="J280" s="8" t="str">
        <f t="array" ref="J28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0" s="8" t="str">
        <f t="array" ref="K280">IF(I280=1,"Event",IF(J280="-","Normal",IF(INDEX(Event_Rumor!$G$2:$G$9,MATCH(J280,Event_Rumor!$A$2:$A$9,0))&gt;ROW(),"Pre","Post")))</f>
        <v>Normal</v>
      </c>
      <c r="L280" s="11" t="str">
        <f t="array" ref="L280">IF(J280="-","-",INDEX(Event_Rumor!$E$2:$E$9,MATCH(J280,Event_Rumor!$A$2:$A$9,0)))</f>
        <v>-</v>
      </c>
    </row>
    <row r="281" spans="1:12" ht="15" customHeight="1" x14ac:dyDescent="0.3">
      <c r="A281" s="26">
        <v>45722</v>
      </c>
      <c r="B281" s="6">
        <v>19055</v>
      </c>
      <c r="C281" s="6">
        <v>19176</v>
      </c>
      <c r="D281" s="6">
        <v>18935</v>
      </c>
      <c r="E281" s="6">
        <v>19055</v>
      </c>
      <c r="F281" s="6">
        <v>23900</v>
      </c>
      <c r="G281" s="7">
        <f t="shared" ref="G281:H281" si="278">(E281-E280)/E280</f>
        <v>-1.2579275643377537E-3</v>
      </c>
      <c r="H281" s="7">
        <f t="shared" si="278"/>
        <v>-0.29080118694362017</v>
      </c>
      <c r="I281" s="8">
        <f>IF(COUNTIF(Event_Rumor!$B$2:$B$9,A281)&gt;0,1,0)</f>
        <v>0</v>
      </c>
      <c r="J281" s="8" t="str">
        <f t="array" ref="J28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1" s="8" t="str">
        <f t="array" ref="K281">IF(I281=1,"Event",IF(J281="-","Normal",IF(INDEX(Event_Rumor!$G$2:$G$9,MATCH(J281,Event_Rumor!$A$2:$A$9,0))&gt;ROW(),"Pre","Post")))</f>
        <v>Normal</v>
      </c>
      <c r="L281" s="11" t="str">
        <f t="array" ref="L281">IF(J281="-","-",INDEX(Event_Rumor!$E$2:$E$9,MATCH(J281,Event_Rumor!$A$2:$A$9,0)))</f>
        <v>-</v>
      </c>
    </row>
    <row r="282" spans="1:12" ht="15" customHeight="1" x14ac:dyDescent="0.3">
      <c r="A282" s="26">
        <v>45723</v>
      </c>
      <c r="B282" s="6">
        <v>19055</v>
      </c>
      <c r="C282" s="6">
        <v>19104</v>
      </c>
      <c r="D282" s="6">
        <v>18886</v>
      </c>
      <c r="E282" s="6">
        <v>19079</v>
      </c>
      <c r="F282" s="6">
        <v>55400</v>
      </c>
      <c r="G282" s="7">
        <f t="shared" ref="G282:H282" si="279">(E282-E281)/E281</f>
        <v>1.2595119391235897E-3</v>
      </c>
      <c r="H282" s="7">
        <f t="shared" si="279"/>
        <v>1.3179916317991631</v>
      </c>
      <c r="I282" s="8">
        <f>IF(COUNTIF(Event_Rumor!$B$2:$B$9,A282)&gt;0,1,0)</f>
        <v>0</v>
      </c>
      <c r="J282" s="8" t="str">
        <f t="array" ref="J28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2" s="8" t="str">
        <f t="array" ref="K282">IF(I282=1,"Event",IF(J282="-","Normal",IF(INDEX(Event_Rumor!$G$2:$G$9,MATCH(J282,Event_Rumor!$A$2:$A$9,0))&gt;ROW(),"Pre","Post")))</f>
        <v>Normal</v>
      </c>
      <c r="L282" s="11" t="str">
        <f t="array" ref="L282">IF(J282="-","-",INDEX(Event_Rumor!$E$2:$E$9,MATCH(J282,Event_Rumor!$A$2:$A$9,0)))</f>
        <v>-</v>
      </c>
    </row>
    <row r="283" spans="1:12" ht="15" customHeight="1" x14ac:dyDescent="0.3">
      <c r="A283" s="26">
        <v>45726</v>
      </c>
      <c r="B283" s="6">
        <v>19031</v>
      </c>
      <c r="C283" s="6">
        <v>19128</v>
      </c>
      <c r="D283" s="6">
        <v>19031</v>
      </c>
      <c r="E283" s="6">
        <v>19128</v>
      </c>
      <c r="F283" s="6">
        <v>20900</v>
      </c>
      <c r="G283" s="7">
        <f t="shared" ref="G283:H283" si="280">(E283-E282)/E282</f>
        <v>2.5682687771895803E-3</v>
      </c>
      <c r="H283" s="7">
        <f t="shared" si="280"/>
        <v>-0.62274368231046928</v>
      </c>
      <c r="I283" s="8">
        <f>IF(COUNTIF(Event_Rumor!$B$2:$B$9,A283)&gt;0,1,0)</f>
        <v>0</v>
      </c>
      <c r="J283" s="8" t="str">
        <f t="array" ref="J28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3" s="8" t="str">
        <f t="array" ref="K283">IF(I283=1,"Event",IF(J283="-","Normal",IF(INDEX(Event_Rumor!$G$2:$G$9,MATCH(J283,Event_Rumor!$A$2:$A$9,0))&gt;ROW(),"Pre","Post")))</f>
        <v>Normal</v>
      </c>
      <c r="L283" s="11" t="str">
        <f t="array" ref="L283">IF(J283="-","-",INDEX(Event_Rumor!$E$2:$E$9,MATCH(J283,Event_Rumor!$A$2:$A$9,0)))</f>
        <v>-</v>
      </c>
    </row>
    <row r="284" spans="1:12" ht="15" customHeight="1" x14ac:dyDescent="0.3">
      <c r="A284" s="26">
        <v>45727</v>
      </c>
      <c r="B284" s="6">
        <v>19055</v>
      </c>
      <c r="C284" s="6">
        <v>19128</v>
      </c>
      <c r="D284" s="6">
        <v>18910</v>
      </c>
      <c r="E284" s="6">
        <v>19128</v>
      </c>
      <c r="F284" s="6">
        <v>35300</v>
      </c>
      <c r="G284" s="7">
        <f t="shared" ref="G284:H284" si="281">(E284-E283)/E283</f>
        <v>0</v>
      </c>
      <c r="H284" s="7">
        <f t="shared" si="281"/>
        <v>0.68899521531100483</v>
      </c>
      <c r="I284" s="8">
        <f>IF(COUNTIF(Event_Rumor!$B$2:$B$9,A284)&gt;0,1,0)</f>
        <v>0</v>
      </c>
      <c r="J284" s="8" t="str">
        <f t="array" ref="J28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4" s="8" t="str">
        <f t="array" ref="K284">IF(I284=1,"Event",IF(J284="-","Normal",IF(INDEX(Event_Rumor!$G$2:$G$9,MATCH(J284,Event_Rumor!$A$2:$A$9,0))&gt;ROW(),"Pre","Post")))</f>
        <v>Normal</v>
      </c>
      <c r="L284" s="11" t="str">
        <f t="array" ref="L284">IF(J284="-","-",INDEX(Event_Rumor!$E$2:$E$9,MATCH(J284,Event_Rumor!$A$2:$A$9,0)))</f>
        <v>-</v>
      </c>
    </row>
    <row r="285" spans="1:12" ht="15" customHeight="1" x14ac:dyDescent="0.3">
      <c r="A285" s="26">
        <v>45728</v>
      </c>
      <c r="B285" s="6">
        <v>19031</v>
      </c>
      <c r="C285" s="6">
        <v>19128</v>
      </c>
      <c r="D285" s="6">
        <v>19031</v>
      </c>
      <c r="E285" s="6">
        <v>19055</v>
      </c>
      <c r="F285" s="6">
        <v>12900</v>
      </c>
      <c r="G285" s="7">
        <f t="shared" ref="G285:H285" si="282">(E285-E284)/E284</f>
        <v>-3.8163948138854038E-3</v>
      </c>
      <c r="H285" s="7">
        <f t="shared" si="282"/>
        <v>-0.63456090651558072</v>
      </c>
      <c r="I285" s="8">
        <f>IF(COUNTIF(Event_Rumor!$B$2:$B$9,A285)&gt;0,1,0)</f>
        <v>0</v>
      </c>
      <c r="J285" s="8" t="str">
        <f t="array" ref="J28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5" s="8" t="str">
        <f t="array" ref="K285">IF(I285=1,"Event",IF(J285="-","Normal",IF(INDEX(Event_Rumor!$G$2:$G$9,MATCH(J285,Event_Rumor!$A$2:$A$9,0))&gt;ROW(),"Pre","Post")))</f>
        <v>Normal</v>
      </c>
      <c r="L285" s="11" t="str">
        <f t="array" ref="L285">IF(J285="-","-",INDEX(Event_Rumor!$E$2:$E$9,MATCH(J285,Event_Rumor!$A$2:$A$9,0)))</f>
        <v>-</v>
      </c>
    </row>
    <row r="286" spans="1:12" ht="15" customHeight="1" x14ac:dyDescent="0.3">
      <c r="A286" s="26">
        <v>45729</v>
      </c>
      <c r="B286" s="6">
        <v>19031</v>
      </c>
      <c r="C286" s="6">
        <v>19514</v>
      </c>
      <c r="D286" s="6">
        <v>19007</v>
      </c>
      <c r="E286" s="6">
        <v>19393</v>
      </c>
      <c r="F286" s="6">
        <v>29300</v>
      </c>
      <c r="G286" s="7">
        <f t="shared" ref="G286:H286" si="283">(E286-E285)/E285</f>
        <v>1.7738126475990552E-2</v>
      </c>
      <c r="H286" s="7">
        <f t="shared" si="283"/>
        <v>1.2713178294573644</v>
      </c>
      <c r="I286" s="8">
        <f>IF(COUNTIF(Event_Rumor!$B$2:$B$9,A286)&gt;0,1,0)</f>
        <v>0</v>
      </c>
      <c r="J286" s="8" t="str">
        <f t="array" ref="J28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6" s="8" t="str">
        <f t="array" ref="K286">IF(I286=1,"Event",IF(J286="-","Normal",IF(INDEX(Event_Rumor!$G$2:$G$9,MATCH(J286,Event_Rumor!$A$2:$A$9,0))&gt;ROW(),"Pre","Post")))</f>
        <v>Normal</v>
      </c>
      <c r="L286" s="11" t="str">
        <f t="array" ref="L286">IF(J286="-","-",INDEX(Event_Rumor!$E$2:$E$9,MATCH(J286,Event_Rumor!$A$2:$A$9,0)))</f>
        <v>-</v>
      </c>
    </row>
    <row r="287" spans="1:12" ht="15" customHeight="1" x14ac:dyDescent="0.3">
      <c r="A287" s="26">
        <v>45730</v>
      </c>
      <c r="B287" s="6">
        <v>19104</v>
      </c>
      <c r="C287" s="6">
        <v>19563</v>
      </c>
      <c r="D287" s="6">
        <v>19104</v>
      </c>
      <c r="E287" s="6">
        <v>19538</v>
      </c>
      <c r="F287" s="6">
        <v>68700</v>
      </c>
      <c r="G287" s="7">
        <f t="shared" ref="G287:H287" si="284">(E287-E286)/E286</f>
        <v>7.4769246635383903E-3</v>
      </c>
      <c r="H287" s="7">
        <f t="shared" si="284"/>
        <v>1.3447098976109215</v>
      </c>
      <c r="I287" s="8">
        <f>IF(COUNTIF(Event_Rumor!$B$2:$B$9,A287)&gt;0,1,0)</f>
        <v>0</v>
      </c>
      <c r="J287" s="8" t="str">
        <f t="array" ref="J28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7" s="8" t="str">
        <f t="array" ref="K287">IF(I287=1,"Event",IF(J287="-","Normal",IF(INDEX(Event_Rumor!$G$2:$G$9,MATCH(J287,Event_Rumor!$A$2:$A$9,0))&gt;ROW(),"Pre","Post")))</f>
        <v>Normal</v>
      </c>
      <c r="L287" s="11" t="str">
        <f t="array" ref="L287">IF(J287="-","-",INDEX(Event_Rumor!$E$2:$E$9,MATCH(J287,Event_Rumor!$A$2:$A$9,0)))</f>
        <v>-</v>
      </c>
    </row>
    <row r="288" spans="1:12" ht="15" customHeight="1" x14ac:dyDescent="0.3">
      <c r="A288" s="26">
        <v>45733</v>
      </c>
      <c r="B288" s="6">
        <v>19442</v>
      </c>
      <c r="C288" s="6">
        <v>19538</v>
      </c>
      <c r="D288" s="6">
        <v>19152</v>
      </c>
      <c r="E288" s="6">
        <v>19442</v>
      </c>
      <c r="F288" s="6">
        <v>47800</v>
      </c>
      <c r="G288" s="7">
        <f t="shared" ref="G288:H288" si="285">(E288-E287)/E287</f>
        <v>-4.9135018937455218E-3</v>
      </c>
      <c r="H288" s="7">
        <f t="shared" si="285"/>
        <v>-0.3042212518195051</v>
      </c>
      <c r="I288" s="8">
        <f>IF(COUNTIF(Event_Rumor!$B$2:$B$9,A288)&gt;0,1,0)</f>
        <v>0</v>
      </c>
      <c r="J288" s="8" t="str">
        <f t="array" ref="J28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8" s="8" t="str">
        <f t="array" ref="K288">IF(I288=1,"Event",IF(J288="-","Normal",IF(INDEX(Event_Rumor!$G$2:$G$9,MATCH(J288,Event_Rumor!$A$2:$A$9,0))&gt;ROW(),"Pre","Post")))</f>
        <v>Normal</v>
      </c>
      <c r="L288" s="11" t="str">
        <f t="array" ref="L288">IF(J288="-","-",INDEX(Event_Rumor!$E$2:$E$9,MATCH(J288,Event_Rumor!$A$2:$A$9,0)))</f>
        <v>-</v>
      </c>
    </row>
    <row r="289" spans="1:12" ht="15" customHeight="1" x14ac:dyDescent="0.3">
      <c r="A289" s="26">
        <v>45734</v>
      </c>
      <c r="B289" s="6">
        <v>19418</v>
      </c>
      <c r="C289" s="6">
        <v>19514</v>
      </c>
      <c r="D289" s="6">
        <v>19224</v>
      </c>
      <c r="E289" s="6">
        <v>19321</v>
      </c>
      <c r="F289" s="6">
        <v>60700</v>
      </c>
      <c r="G289" s="7">
        <f t="shared" ref="G289:H289" si="286">(E289-E288)/E288</f>
        <v>-6.223639543256867E-3</v>
      </c>
      <c r="H289" s="7">
        <f t="shared" si="286"/>
        <v>0.26987447698744771</v>
      </c>
      <c r="I289" s="8">
        <f>IF(COUNTIF(Event_Rumor!$B$2:$B$9,A289)&gt;0,1,0)</f>
        <v>0</v>
      </c>
      <c r="J289" s="8" t="str">
        <f t="array" ref="J28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89" s="8" t="str">
        <f t="array" ref="K289">IF(I289=1,"Event",IF(J289="-","Normal",IF(INDEX(Event_Rumor!$G$2:$G$9,MATCH(J289,Event_Rumor!$A$2:$A$9,0))&gt;ROW(),"Pre","Post")))</f>
        <v>Normal</v>
      </c>
      <c r="L289" s="11" t="str">
        <f t="array" ref="L289">IF(J289="-","-",INDEX(Event_Rumor!$E$2:$E$9,MATCH(J289,Event_Rumor!$A$2:$A$9,0)))</f>
        <v>-</v>
      </c>
    </row>
    <row r="290" spans="1:12" ht="15" customHeight="1" x14ac:dyDescent="0.3">
      <c r="A290" s="26">
        <v>45735</v>
      </c>
      <c r="B290" s="6">
        <v>19152</v>
      </c>
      <c r="C290" s="6">
        <v>19369</v>
      </c>
      <c r="D290" s="6">
        <v>18838</v>
      </c>
      <c r="E290" s="6">
        <v>19321</v>
      </c>
      <c r="F290" s="6">
        <v>40500</v>
      </c>
      <c r="G290" s="7">
        <f t="shared" ref="G290:H290" si="287">(E290-E289)/E289</f>
        <v>0</v>
      </c>
      <c r="H290" s="7">
        <f t="shared" si="287"/>
        <v>-0.33278418451400327</v>
      </c>
      <c r="I290" s="8">
        <f>IF(COUNTIF(Event_Rumor!$B$2:$B$9,A290)&gt;0,1,0)</f>
        <v>0</v>
      </c>
      <c r="J290" s="8" t="str">
        <f t="array" ref="J29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0" s="8" t="str">
        <f t="array" ref="K290">IF(I290=1,"Event",IF(J290="-","Normal",IF(INDEX(Event_Rumor!$G$2:$G$9,MATCH(J290,Event_Rumor!$A$2:$A$9,0))&gt;ROW(),"Pre","Post")))</f>
        <v>Normal</v>
      </c>
      <c r="L290" s="11" t="str">
        <f t="array" ref="L290">IF(J290="-","-",INDEX(Event_Rumor!$E$2:$E$9,MATCH(J290,Event_Rumor!$A$2:$A$9,0)))</f>
        <v>-</v>
      </c>
    </row>
    <row r="291" spans="1:12" ht="15" customHeight="1" x14ac:dyDescent="0.3">
      <c r="A291" s="26">
        <v>45736</v>
      </c>
      <c r="B291" s="6">
        <v>19152</v>
      </c>
      <c r="C291" s="6">
        <v>19321</v>
      </c>
      <c r="D291" s="6">
        <v>19031</v>
      </c>
      <c r="E291" s="6">
        <v>19297</v>
      </c>
      <c r="F291" s="6">
        <v>40400</v>
      </c>
      <c r="G291" s="7">
        <f t="shared" ref="G291:H291" si="288">(E291-E290)/E290</f>
        <v>-1.2421717302417059E-3</v>
      </c>
      <c r="H291" s="7">
        <f t="shared" si="288"/>
        <v>-2.4691358024691358E-3</v>
      </c>
      <c r="I291" s="8">
        <f>IF(COUNTIF(Event_Rumor!$B$2:$B$9,A291)&gt;0,1,0)</f>
        <v>0</v>
      </c>
      <c r="J291" s="8" t="str">
        <f t="array" ref="J29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1" s="8" t="str">
        <f t="array" ref="K291">IF(I291=1,"Event",IF(J291="-","Normal",IF(INDEX(Event_Rumor!$G$2:$G$9,MATCH(J291,Event_Rumor!$A$2:$A$9,0))&gt;ROW(),"Pre","Post")))</f>
        <v>Normal</v>
      </c>
      <c r="L291" s="11" t="str">
        <f t="array" ref="L291">IF(J291="-","-",INDEX(Event_Rumor!$E$2:$E$9,MATCH(J291,Event_Rumor!$A$2:$A$9,0)))</f>
        <v>-</v>
      </c>
    </row>
    <row r="292" spans="1:12" ht="15" customHeight="1" x14ac:dyDescent="0.3">
      <c r="A292" s="26">
        <v>45737</v>
      </c>
      <c r="B292" s="6">
        <v>19297</v>
      </c>
      <c r="C292" s="6">
        <v>19321</v>
      </c>
      <c r="D292" s="6">
        <v>18959</v>
      </c>
      <c r="E292" s="6">
        <v>19321</v>
      </c>
      <c r="F292" s="6">
        <v>46600</v>
      </c>
      <c r="G292" s="7">
        <f t="shared" ref="G292:H292" si="289">(E292-E291)/E291</f>
        <v>1.2437166398922112E-3</v>
      </c>
      <c r="H292" s="7">
        <f t="shared" si="289"/>
        <v>0.15346534653465346</v>
      </c>
      <c r="I292" s="8">
        <f>IF(COUNTIF(Event_Rumor!$B$2:$B$9,A292)&gt;0,1,0)</f>
        <v>0</v>
      </c>
      <c r="J292" s="8" t="str">
        <f t="array" ref="J29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2" s="8" t="str">
        <f t="array" ref="K292">IF(I292=1,"Event",IF(J292="-","Normal",IF(INDEX(Event_Rumor!$G$2:$G$9,MATCH(J292,Event_Rumor!$A$2:$A$9,0))&gt;ROW(),"Pre","Post")))</f>
        <v>Normal</v>
      </c>
      <c r="L292" s="11" t="str">
        <f t="array" ref="L292">IF(J292="-","-",INDEX(Event_Rumor!$E$2:$E$9,MATCH(J292,Event_Rumor!$A$2:$A$9,0)))</f>
        <v>-</v>
      </c>
    </row>
    <row r="293" spans="1:12" ht="15" customHeight="1" x14ac:dyDescent="0.3">
      <c r="A293" s="26">
        <v>45740</v>
      </c>
      <c r="B293" s="6">
        <v>19249</v>
      </c>
      <c r="C293" s="6">
        <v>19321</v>
      </c>
      <c r="D293" s="6">
        <v>18983</v>
      </c>
      <c r="E293" s="6">
        <v>19321</v>
      </c>
      <c r="F293" s="6">
        <v>36700</v>
      </c>
      <c r="G293" s="7">
        <f t="shared" ref="G293:H293" si="290">(E293-E292)/E292</f>
        <v>0</v>
      </c>
      <c r="H293" s="7">
        <f t="shared" si="290"/>
        <v>-0.21244635193133046</v>
      </c>
      <c r="I293" s="8">
        <f>IF(COUNTIF(Event_Rumor!$B$2:$B$9,A293)&gt;0,1,0)</f>
        <v>0</v>
      </c>
      <c r="J293" s="8" t="str">
        <f t="array" ref="J29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3" s="8" t="str">
        <f t="array" ref="K293">IF(I293=1,"Event",IF(J293="-","Normal",IF(INDEX(Event_Rumor!$G$2:$G$9,MATCH(J293,Event_Rumor!$A$2:$A$9,0))&gt;ROW(),"Pre","Post")))</f>
        <v>Normal</v>
      </c>
      <c r="L293" s="11" t="str">
        <f t="array" ref="L293">IF(J293="-","-",INDEX(Event_Rumor!$E$2:$E$9,MATCH(J293,Event_Rumor!$A$2:$A$9,0)))</f>
        <v>-</v>
      </c>
    </row>
    <row r="294" spans="1:12" ht="15" customHeight="1" x14ac:dyDescent="0.3">
      <c r="A294" s="26">
        <v>45741</v>
      </c>
      <c r="B294" s="6">
        <v>19297</v>
      </c>
      <c r="C294" s="6">
        <v>19321</v>
      </c>
      <c r="D294" s="6">
        <v>19249</v>
      </c>
      <c r="E294" s="6">
        <v>19321</v>
      </c>
      <c r="F294" s="6">
        <v>49500</v>
      </c>
      <c r="G294" s="7">
        <f t="shared" ref="G294:H294" si="291">(E294-E293)/E293</f>
        <v>0</v>
      </c>
      <c r="H294" s="7">
        <f t="shared" si="291"/>
        <v>0.34877384196185285</v>
      </c>
      <c r="I294" s="8">
        <f>IF(COUNTIF(Event_Rumor!$B$2:$B$9,A294)&gt;0,1,0)</f>
        <v>0</v>
      </c>
      <c r="J294" s="8" t="str">
        <f t="array" ref="J29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4" s="8" t="str">
        <f t="array" ref="K294">IF(I294=1,"Event",IF(J294="-","Normal",IF(INDEX(Event_Rumor!$G$2:$G$9,MATCH(J294,Event_Rumor!$A$2:$A$9,0))&gt;ROW(),"Pre","Post")))</f>
        <v>Normal</v>
      </c>
      <c r="L294" s="11" t="str">
        <f t="array" ref="L294">IF(J294="-","-",INDEX(Event_Rumor!$E$2:$E$9,MATCH(J294,Event_Rumor!$A$2:$A$9,0)))</f>
        <v>-</v>
      </c>
    </row>
    <row r="295" spans="1:12" ht="15" customHeight="1" x14ac:dyDescent="0.3">
      <c r="A295" s="26">
        <v>45742</v>
      </c>
      <c r="B295" s="6">
        <v>19031</v>
      </c>
      <c r="C295" s="6">
        <v>19321</v>
      </c>
      <c r="D295" s="6">
        <v>19031</v>
      </c>
      <c r="E295" s="6">
        <v>19321</v>
      </c>
      <c r="F295" s="6">
        <v>21800</v>
      </c>
      <c r="G295" s="7">
        <f t="shared" ref="G295:H295" si="292">(E295-E294)/E294</f>
        <v>0</v>
      </c>
      <c r="H295" s="7">
        <f t="shared" si="292"/>
        <v>-0.55959595959595965</v>
      </c>
      <c r="I295" s="8">
        <f>IF(COUNTIF(Event_Rumor!$B$2:$B$9,A295)&gt;0,1,0)</f>
        <v>0</v>
      </c>
      <c r="J295" s="8" t="str">
        <f t="array" ref="J29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5" s="8" t="str">
        <f t="array" ref="K295">IF(I295=1,"Event",IF(J295="-","Normal",IF(INDEX(Event_Rumor!$G$2:$G$9,MATCH(J295,Event_Rumor!$A$2:$A$9,0))&gt;ROW(),"Pre","Post")))</f>
        <v>Normal</v>
      </c>
      <c r="L295" s="11" t="str">
        <f t="array" ref="L295">IF(J295="-","-",INDEX(Event_Rumor!$E$2:$E$9,MATCH(J295,Event_Rumor!$A$2:$A$9,0)))</f>
        <v>-</v>
      </c>
    </row>
    <row r="296" spans="1:12" ht="15" customHeight="1" x14ac:dyDescent="0.3">
      <c r="A296" s="26">
        <v>45743</v>
      </c>
      <c r="B296" s="6">
        <v>19345</v>
      </c>
      <c r="C296" s="6">
        <v>19369</v>
      </c>
      <c r="D296" s="6">
        <v>19321</v>
      </c>
      <c r="E296" s="6">
        <v>19345</v>
      </c>
      <c r="F296" s="6">
        <v>43900</v>
      </c>
      <c r="G296" s="7">
        <f t="shared" ref="G296:H296" si="293">(E296-E295)/E295</f>
        <v>1.2421717302417059E-3</v>
      </c>
      <c r="H296" s="7">
        <f t="shared" si="293"/>
        <v>1.0137614678899083</v>
      </c>
      <c r="I296" s="8">
        <f>IF(COUNTIF(Event_Rumor!$B$2:$B$9,A296)&gt;0,1,0)</f>
        <v>0</v>
      </c>
      <c r="J296" s="8" t="str">
        <f t="array" ref="J29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6" s="8" t="str">
        <f t="array" ref="K296">IF(I296=1,"Event",IF(J296="-","Normal",IF(INDEX(Event_Rumor!$G$2:$G$9,MATCH(J296,Event_Rumor!$A$2:$A$9,0))&gt;ROW(),"Pre","Post")))</f>
        <v>Normal</v>
      </c>
      <c r="L296" s="11" t="str">
        <f t="array" ref="L296">IF(J296="-","-",INDEX(Event_Rumor!$E$2:$E$9,MATCH(J296,Event_Rumor!$A$2:$A$9,0)))</f>
        <v>-</v>
      </c>
    </row>
    <row r="297" spans="1:12" ht="15" customHeight="1" x14ac:dyDescent="0.3">
      <c r="A297" s="26">
        <v>45755</v>
      </c>
      <c r="B297" s="6">
        <v>19031</v>
      </c>
      <c r="C297" s="6">
        <v>19345</v>
      </c>
      <c r="D297" s="6">
        <v>18959</v>
      </c>
      <c r="E297" s="6">
        <v>19200</v>
      </c>
      <c r="F297" s="6">
        <v>67100</v>
      </c>
      <c r="G297" s="7">
        <f t="shared" ref="G297:H297" si="294">(E297-E296)/E296</f>
        <v>-7.4954768674075989E-3</v>
      </c>
      <c r="H297" s="7">
        <f t="shared" si="294"/>
        <v>0.52847380410022782</v>
      </c>
      <c r="I297" s="8">
        <f>IF(COUNTIF(Event_Rumor!$B$2:$B$9,A297)&gt;0,1,0)</f>
        <v>0</v>
      </c>
      <c r="J297" s="8" t="str">
        <f t="array" ref="J29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7" s="8" t="str">
        <f t="array" ref="K297">IF(I297=1,"Event",IF(J297="-","Normal",IF(INDEX(Event_Rumor!$G$2:$G$9,MATCH(J297,Event_Rumor!$A$2:$A$9,0))&gt;ROW(),"Pre","Post")))</f>
        <v>Normal</v>
      </c>
      <c r="L297" s="11" t="str">
        <f t="array" ref="L297">IF(J297="-","-",INDEX(Event_Rumor!$E$2:$E$9,MATCH(J297,Event_Rumor!$A$2:$A$9,0)))</f>
        <v>-</v>
      </c>
    </row>
    <row r="298" spans="1:12" ht="15" customHeight="1" x14ac:dyDescent="0.3">
      <c r="A298" s="26">
        <v>45756</v>
      </c>
      <c r="B298" s="6">
        <v>19200</v>
      </c>
      <c r="C298" s="6">
        <v>19321</v>
      </c>
      <c r="D298" s="6">
        <v>19200</v>
      </c>
      <c r="E298" s="6">
        <v>19321</v>
      </c>
      <c r="F298" s="6">
        <v>51400</v>
      </c>
      <c r="G298" s="7">
        <f t="shared" ref="G298:H298" si="295">(E298-E297)/E297</f>
        <v>6.3020833333333331E-3</v>
      </c>
      <c r="H298" s="7">
        <f t="shared" si="295"/>
        <v>-0.23397913561847988</v>
      </c>
      <c r="I298" s="8">
        <f>IF(COUNTIF(Event_Rumor!$B$2:$B$9,A298)&gt;0,1,0)</f>
        <v>0</v>
      </c>
      <c r="J298" s="8" t="str">
        <f t="array" ref="J29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8" s="8" t="str">
        <f t="array" ref="K298">IF(I298=1,"Event",IF(J298="-","Normal",IF(INDEX(Event_Rumor!$G$2:$G$9,MATCH(J298,Event_Rumor!$A$2:$A$9,0))&gt;ROW(),"Pre","Post")))</f>
        <v>Normal</v>
      </c>
      <c r="L298" s="11" t="str">
        <f t="array" ref="L298">IF(J298="-","-",INDEX(Event_Rumor!$E$2:$E$9,MATCH(J298,Event_Rumor!$A$2:$A$9,0)))</f>
        <v>-</v>
      </c>
    </row>
    <row r="299" spans="1:12" ht="15" customHeight="1" x14ac:dyDescent="0.3">
      <c r="A299" s="26">
        <v>45757</v>
      </c>
      <c r="B299" s="6">
        <v>19104</v>
      </c>
      <c r="C299" s="6">
        <v>19393</v>
      </c>
      <c r="D299" s="6">
        <v>19104</v>
      </c>
      <c r="E299" s="6">
        <v>19393</v>
      </c>
      <c r="F299" s="6">
        <v>44500</v>
      </c>
      <c r="G299" s="7">
        <f t="shared" ref="G299:H299" si="296">(E299-E298)/E298</f>
        <v>3.7265151907251177E-3</v>
      </c>
      <c r="H299" s="7">
        <f t="shared" si="296"/>
        <v>-0.13424124513618677</v>
      </c>
      <c r="I299" s="8">
        <f>IF(COUNTIF(Event_Rumor!$B$2:$B$9,A299)&gt;0,1,0)</f>
        <v>0</v>
      </c>
      <c r="J299" s="8" t="str">
        <f t="array" ref="J29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299" s="8" t="str">
        <f t="array" ref="K299">IF(I299=1,"Event",IF(J299="-","Normal",IF(INDEX(Event_Rumor!$G$2:$G$9,MATCH(J299,Event_Rumor!$A$2:$A$9,0))&gt;ROW(),"Pre","Post")))</f>
        <v>Normal</v>
      </c>
      <c r="L299" s="11" t="str">
        <f t="array" ref="L299">IF(J299="-","-",INDEX(Event_Rumor!$E$2:$E$9,MATCH(J299,Event_Rumor!$A$2:$A$9,0)))</f>
        <v>-</v>
      </c>
    </row>
    <row r="300" spans="1:12" ht="15" customHeight="1" x14ac:dyDescent="0.3">
      <c r="A300" s="26">
        <v>45758</v>
      </c>
      <c r="B300" s="6">
        <v>19393</v>
      </c>
      <c r="C300" s="6">
        <v>19442</v>
      </c>
      <c r="D300" s="6">
        <v>19224</v>
      </c>
      <c r="E300" s="6">
        <v>19321</v>
      </c>
      <c r="F300" s="6">
        <v>71100</v>
      </c>
      <c r="G300" s="7">
        <f t="shared" ref="G300:H300" si="297">(E300-E299)/E299</f>
        <v>-3.7126798329294077E-3</v>
      </c>
      <c r="H300" s="7">
        <f t="shared" si="297"/>
        <v>0.59775280898876404</v>
      </c>
      <c r="I300" s="8">
        <f>IF(COUNTIF(Event_Rumor!$B$2:$B$9,A300)&gt;0,1,0)</f>
        <v>0</v>
      </c>
      <c r="J300" s="8" t="str">
        <f t="array" ref="J30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0" s="8" t="str">
        <f t="array" ref="K300">IF(I300=1,"Event",IF(J300="-","Normal",IF(INDEX(Event_Rumor!$G$2:$G$9,MATCH(J300,Event_Rumor!$A$2:$A$9,0))&gt;ROW(),"Pre","Post")))</f>
        <v>Normal</v>
      </c>
      <c r="L300" s="11" t="str">
        <f t="array" ref="L300">IF(J300="-","-",INDEX(Event_Rumor!$E$2:$E$9,MATCH(J300,Event_Rumor!$A$2:$A$9,0)))</f>
        <v>-</v>
      </c>
    </row>
    <row r="301" spans="1:12" ht="15" customHeight="1" x14ac:dyDescent="0.3">
      <c r="A301" s="26">
        <v>45761</v>
      </c>
      <c r="B301" s="6">
        <v>19321</v>
      </c>
      <c r="C301" s="6">
        <v>19321</v>
      </c>
      <c r="D301" s="6">
        <v>16447</v>
      </c>
      <c r="E301" s="6">
        <v>16447</v>
      </c>
      <c r="F301" s="6">
        <v>65200</v>
      </c>
      <c r="G301" s="7">
        <f t="shared" ref="G301:H301" si="298">(E301-E300)/E300</f>
        <v>-0.14875006469644428</v>
      </c>
      <c r="H301" s="7">
        <f t="shared" si="298"/>
        <v>-8.2981715893108293E-2</v>
      </c>
      <c r="I301" s="8">
        <f>IF(COUNTIF(Event_Rumor!$B$2:$B$9,A301)&gt;0,1,0)</f>
        <v>0</v>
      </c>
      <c r="J301" s="8" t="str">
        <f t="array" ref="J30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1" s="8" t="str">
        <f t="array" ref="K301">IF(I301=1,"Event",IF(J301="-","Normal",IF(INDEX(Event_Rumor!$G$2:$G$9,MATCH(J301,Event_Rumor!$A$2:$A$9,0))&gt;ROW(),"Pre","Post")))</f>
        <v>Normal</v>
      </c>
      <c r="L301" s="11" t="str">
        <f t="array" ref="L301">IF(J301="-","-",INDEX(Event_Rumor!$E$2:$E$9,MATCH(J301,Event_Rumor!$A$2:$A$9,0)))</f>
        <v>-</v>
      </c>
    </row>
    <row r="302" spans="1:12" ht="15" customHeight="1" x14ac:dyDescent="0.3">
      <c r="A302" s="26">
        <v>45762</v>
      </c>
      <c r="B302" s="6">
        <v>18596</v>
      </c>
      <c r="C302" s="6">
        <v>19321</v>
      </c>
      <c r="D302" s="6">
        <v>18596</v>
      </c>
      <c r="E302" s="6">
        <v>19321</v>
      </c>
      <c r="F302" s="6">
        <v>76900</v>
      </c>
      <c r="G302" s="7">
        <f t="shared" ref="G302:H302" si="299">(E302-E301)/E301</f>
        <v>0.17474311424575911</v>
      </c>
      <c r="H302" s="7">
        <f t="shared" si="299"/>
        <v>0.17944785276073619</v>
      </c>
      <c r="I302" s="8">
        <f>IF(COUNTIF(Event_Rumor!$B$2:$B$9,A302)&gt;0,1,0)</f>
        <v>0</v>
      </c>
      <c r="J302" s="8" t="str">
        <f t="array" ref="J30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2" s="8" t="str">
        <f t="array" ref="K302">IF(I302=1,"Event",IF(J302="-","Normal",IF(INDEX(Event_Rumor!$G$2:$G$9,MATCH(J302,Event_Rumor!$A$2:$A$9,0))&gt;ROW(),"Pre","Post")))</f>
        <v>Normal</v>
      </c>
      <c r="L302" s="11" t="str">
        <f t="array" ref="L302">IF(J302="-","-",INDEX(Event_Rumor!$E$2:$E$9,MATCH(J302,Event_Rumor!$A$2:$A$9,0)))</f>
        <v>-</v>
      </c>
    </row>
    <row r="303" spans="1:12" ht="15" customHeight="1" x14ac:dyDescent="0.3">
      <c r="A303" s="26">
        <v>45763</v>
      </c>
      <c r="B303" s="6">
        <v>19321</v>
      </c>
      <c r="C303" s="6">
        <v>19321</v>
      </c>
      <c r="D303" s="6">
        <v>19031</v>
      </c>
      <c r="E303" s="6">
        <v>19321</v>
      </c>
      <c r="F303" s="6">
        <v>29700</v>
      </c>
      <c r="G303" s="7">
        <f t="shared" ref="G303:H303" si="300">(E303-E302)/E302</f>
        <v>0</v>
      </c>
      <c r="H303" s="7">
        <f t="shared" si="300"/>
        <v>-0.61378413524057218</v>
      </c>
      <c r="I303" s="8">
        <f>IF(COUNTIF(Event_Rumor!$B$2:$B$9,A303)&gt;0,1,0)</f>
        <v>0</v>
      </c>
      <c r="J303" s="8" t="str">
        <f t="array" ref="J30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3" s="8" t="str">
        <f t="array" ref="K303">IF(I303=1,"Event",IF(J303="-","Normal",IF(INDEX(Event_Rumor!$G$2:$G$9,MATCH(J303,Event_Rumor!$A$2:$A$9,0))&gt;ROW(),"Pre","Post")))</f>
        <v>Normal</v>
      </c>
      <c r="L303" s="11" t="str">
        <f t="array" ref="L303">IF(J303="-","-",INDEX(Event_Rumor!$E$2:$E$9,MATCH(J303,Event_Rumor!$A$2:$A$9,0)))</f>
        <v>-</v>
      </c>
    </row>
    <row r="304" spans="1:12" ht="15" customHeight="1" x14ac:dyDescent="0.3">
      <c r="A304" s="26">
        <v>45764</v>
      </c>
      <c r="B304" s="6">
        <v>19297</v>
      </c>
      <c r="C304" s="6">
        <v>19321</v>
      </c>
      <c r="D304" s="6">
        <v>19104</v>
      </c>
      <c r="E304" s="6">
        <v>19321</v>
      </c>
      <c r="F304" s="6">
        <v>57400</v>
      </c>
      <c r="G304" s="7">
        <f t="shared" ref="G304:H304" si="301">(E304-E303)/E303</f>
        <v>0</v>
      </c>
      <c r="H304" s="7">
        <f t="shared" si="301"/>
        <v>0.93265993265993263</v>
      </c>
      <c r="I304" s="8">
        <f>IF(COUNTIF(Event_Rumor!$B$2:$B$9,A304)&gt;0,1,0)</f>
        <v>0</v>
      </c>
      <c r="J304" s="8" t="str">
        <f t="array" ref="J30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4" s="8" t="str">
        <f t="array" ref="K304">IF(I304=1,"Event",IF(J304="-","Normal",IF(INDEX(Event_Rumor!$G$2:$G$9,MATCH(J304,Event_Rumor!$A$2:$A$9,0))&gt;ROW(),"Pre","Post")))</f>
        <v>Normal</v>
      </c>
      <c r="L304" s="11" t="str">
        <f t="array" ref="L304">IF(J304="-","-",INDEX(Event_Rumor!$E$2:$E$9,MATCH(J304,Event_Rumor!$A$2:$A$9,0)))</f>
        <v>-</v>
      </c>
    </row>
    <row r="305" spans="1:12" ht="15" customHeight="1" x14ac:dyDescent="0.3">
      <c r="A305" s="26">
        <v>45768</v>
      </c>
      <c r="B305" s="6">
        <v>19297</v>
      </c>
      <c r="C305" s="6">
        <v>19297</v>
      </c>
      <c r="D305" s="6">
        <v>18838</v>
      </c>
      <c r="E305" s="6">
        <v>19007</v>
      </c>
      <c r="F305" s="6">
        <v>29900</v>
      </c>
      <c r="G305" s="7">
        <f t="shared" ref="G305:H305" si="302">(E305-E304)/E304</f>
        <v>-1.6251746803995652E-2</v>
      </c>
      <c r="H305" s="7">
        <f t="shared" si="302"/>
        <v>-0.47909407665505227</v>
      </c>
      <c r="I305" s="8">
        <f>IF(COUNTIF(Event_Rumor!$B$2:$B$9,A305)&gt;0,1,0)</f>
        <v>0</v>
      </c>
      <c r="J305" s="8" t="str">
        <f t="array" ref="J30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5" s="8" t="str">
        <f t="array" ref="K305">IF(I305=1,"Event",IF(J305="-","Normal",IF(INDEX(Event_Rumor!$G$2:$G$9,MATCH(J305,Event_Rumor!$A$2:$A$9,0))&gt;ROW(),"Pre","Post")))</f>
        <v>Normal</v>
      </c>
      <c r="L305" s="11" t="str">
        <f t="array" ref="L305">IF(J305="-","-",INDEX(Event_Rumor!$E$2:$E$9,MATCH(J305,Event_Rumor!$A$2:$A$9,0)))</f>
        <v>-</v>
      </c>
    </row>
    <row r="306" spans="1:12" ht="15" customHeight="1" x14ac:dyDescent="0.3">
      <c r="A306" s="26">
        <v>45769</v>
      </c>
      <c r="B306" s="6">
        <v>19007</v>
      </c>
      <c r="C306" s="6">
        <v>19273</v>
      </c>
      <c r="D306" s="6">
        <v>18910</v>
      </c>
      <c r="E306" s="6">
        <v>19249</v>
      </c>
      <c r="F306" s="6">
        <v>38100</v>
      </c>
      <c r="G306" s="7">
        <f t="shared" ref="G306:H306" si="303">(E306-E305)/E305</f>
        <v>1.2732151312674278E-2</v>
      </c>
      <c r="H306" s="7">
        <f t="shared" si="303"/>
        <v>0.27424749163879597</v>
      </c>
      <c r="I306" s="8">
        <f>IF(COUNTIF(Event_Rumor!$B$2:$B$9,A306)&gt;0,1,0)</f>
        <v>0</v>
      </c>
      <c r="J306" s="8" t="str">
        <f t="array" ref="J30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6" s="8" t="str">
        <f t="array" ref="K306">IF(I306=1,"Event",IF(J306="-","Normal",IF(INDEX(Event_Rumor!$G$2:$G$9,MATCH(J306,Event_Rumor!$A$2:$A$9,0))&gt;ROW(),"Pre","Post")))</f>
        <v>Normal</v>
      </c>
      <c r="L306" s="11" t="str">
        <f t="array" ref="L306">IF(J306="-","-",INDEX(Event_Rumor!$E$2:$E$9,MATCH(J306,Event_Rumor!$A$2:$A$9,0)))</f>
        <v>-</v>
      </c>
    </row>
    <row r="307" spans="1:12" ht="15" customHeight="1" x14ac:dyDescent="0.3">
      <c r="A307" s="26">
        <v>45770</v>
      </c>
      <c r="B307" s="6">
        <v>19079</v>
      </c>
      <c r="C307" s="6">
        <v>19273</v>
      </c>
      <c r="D307" s="6">
        <v>19079</v>
      </c>
      <c r="E307" s="6">
        <v>19200</v>
      </c>
      <c r="F307" s="6">
        <v>10700</v>
      </c>
      <c r="G307" s="7">
        <f t="shared" ref="G307:H307" si="304">(E307-E306)/E306</f>
        <v>-2.5455867837290247E-3</v>
      </c>
      <c r="H307" s="7">
        <f t="shared" si="304"/>
        <v>-0.71916010498687666</v>
      </c>
      <c r="I307" s="8">
        <f>IF(COUNTIF(Event_Rumor!$B$2:$B$9,A307)&gt;0,1,0)</f>
        <v>0</v>
      </c>
      <c r="J307" s="8" t="str">
        <f t="array" ref="J30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7" s="8" t="str">
        <f t="array" ref="K307">IF(I307=1,"Event",IF(J307="-","Normal",IF(INDEX(Event_Rumor!$G$2:$G$9,MATCH(J307,Event_Rumor!$A$2:$A$9,0))&gt;ROW(),"Pre","Post")))</f>
        <v>Normal</v>
      </c>
      <c r="L307" s="11" t="str">
        <f t="array" ref="L307">IF(J307="-","-",INDEX(Event_Rumor!$E$2:$E$9,MATCH(J307,Event_Rumor!$A$2:$A$9,0)))</f>
        <v>-</v>
      </c>
    </row>
    <row r="308" spans="1:12" ht="15" customHeight="1" x14ac:dyDescent="0.3">
      <c r="A308" s="26">
        <v>45771</v>
      </c>
      <c r="B308" s="6">
        <v>19200</v>
      </c>
      <c r="C308" s="6">
        <v>19224</v>
      </c>
      <c r="D308" s="6">
        <v>18983</v>
      </c>
      <c r="E308" s="6">
        <v>19224</v>
      </c>
      <c r="F308" s="6">
        <v>19400</v>
      </c>
      <c r="G308" s="7">
        <f t="shared" ref="G308:H308" si="305">(E308-E307)/E307</f>
        <v>1.25E-3</v>
      </c>
      <c r="H308" s="7">
        <f t="shared" si="305"/>
        <v>0.81308411214953269</v>
      </c>
      <c r="I308" s="8">
        <f>IF(COUNTIF(Event_Rumor!$B$2:$B$9,A308)&gt;0,1,0)</f>
        <v>0</v>
      </c>
      <c r="J308" s="8" t="str">
        <f t="array" ref="J30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8" s="8" t="str">
        <f t="array" ref="K308">IF(I308=1,"Event",IF(J308="-","Normal",IF(INDEX(Event_Rumor!$G$2:$G$9,MATCH(J308,Event_Rumor!$A$2:$A$9,0))&gt;ROW(),"Pre","Post")))</f>
        <v>Normal</v>
      </c>
      <c r="L308" s="11" t="str">
        <f t="array" ref="L308">IF(J308="-","-",INDEX(Event_Rumor!$E$2:$E$9,MATCH(J308,Event_Rumor!$A$2:$A$9,0)))</f>
        <v>-</v>
      </c>
    </row>
    <row r="309" spans="1:12" ht="15" customHeight="1" x14ac:dyDescent="0.3">
      <c r="A309" s="26">
        <v>45772</v>
      </c>
      <c r="B309" s="6">
        <v>19007</v>
      </c>
      <c r="C309" s="6">
        <v>19273</v>
      </c>
      <c r="D309" s="6">
        <v>19007</v>
      </c>
      <c r="E309" s="6">
        <v>19273</v>
      </c>
      <c r="F309" s="6">
        <v>25500</v>
      </c>
      <c r="G309" s="7">
        <f t="shared" ref="G309:H309" si="306">(E309-E308)/E308</f>
        <v>2.5488972118185601E-3</v>
      </c>
      <c r="H309" s="7">
        <f t="shared" si="306"/>
        <v>0.31443298969072164</v>
      </c>
      <c r="I309" s="8">
        <f>IF(COUNTIF(Event_Rumor!$B$2:$B$9,A309)&gt;0,1,0)</f>
        <v>0</v>
      </c>
      <c r="J309" s="8" t="str">
        <f t="array" ref="J30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09" s="8" t="str">
        <f t="array" ref="K309">IF(I309=1,"Event",IF(J309="-","Normal",IF(INDEX(Event_Rumor!$G$2:$G$9,MATCH(J309,Event_Rumor!$A$2:$A$9,0))&gt;ROW(),"Pre","Post")))</f>
        <v>Normal</v>
      </c>
      <c r="L309" s="11" t="str">
        <f t="array" ref="L309">IF(J309="-","-",INDEX(Event_Rumor!$E$2:$E$9,MATCH(J309,Event_Rumor!$A$2:$A$9,0)))</f>
        <v>-</v>
      </c>
    </row>
    <row r="310" spans="1:12" ht="15" customHeight="1" x14ac:dyDescent="0.3">
      <c r="A310" s="26">
        <v>45775</v>
      </c>
      <c r="B310" s="6">
        <v>19249</v>
      </c>
      <c r="C310" s="6">
        <v>19297</v>
      </c>
      <c r="D310" s="6">
        <v>19152</v>
      </c>
      <c r="E310" s="6">
        <v>19297</v>
      </c>
      <c r="F310" s="6">
        <v>28700</v>
      </c>
      <c r="G310" s="7">
        <f t="shared" ref="G310:H310" si="307">(E310-E309)/E309</f>
        <v>1.2452653971877757E-3</v>
      </c>
      <c r="H310" s="7">
        <f t="shared" si="307"/>
        <v>0.12549019607843137</v>
      </c>
      <c r="I310" s="8">
        <f>IF(COUNTIF(Event_Rumor!$B$2:$B$9,A310)&gt;0,1,0)</f>
        <v>0</v>
      </c>
      <c r="J310" s="8" t="str">
        <f t="array" ref="J3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0" s="8" t="str">
        <f t="array" ref="K310">IF(I310=1,"Event",IF(J310="-","Normal",IF(INDEX(Event_Rumor!$G$2:$G$9,MATCH(J310,Event_Rumor!$A$2:$A$9,0))&gt;ROW(),"Pre","Post")))</f>
        <v>Normal</v>
      </c>
      <c r="L310" s="11" t="str">
        <f t="array" ref="L310">IF(J310="-","-",INDEX(Event_Rumor!$E$2:$E$9,MATCH(J310,Event_Rumor!$A$2:$A$9,0)))</f>
        <v>-</v>
      </c>
    </row>
    <row r="311" spans="1:12" ht="15" customHeight="1" x14ac:dyDescent="0.3">
      <c r="A311" s="26">
        <v>45776</v>
      </c>
      <c r="B311" s="6">
        <v>19297</v>
      </c>
      <c r="C311" s="6">
        <v>19297</v>
      </c>
      <c r="D311" s="6">
        <v>19200</v>
      </c>
      <c r="E311" s="6">
        <v>19200</v>
      </c>
      <c r="F311" s="6">
        <v>19000</v>
      </c>
      <c r="G311" s="7">
        <f t="shared" ref="G311:H311" si="308">(E311-E310)/E310</f>
        <v>-5.0266880862310202E-3</v>
      </c>
      <c r="H311" s="7">
        <f t="shared" si="308"/>
        <v>-0.33797909407665505</v>
      </c>
      <c r="I311" s="8">
        <f>IF(COUNTIF(Event_Rumor!$B$2:$B$9,A311)&gt;0,1,0)</f>
        <v>0</v>
      </c>
      <c r="J311" s="8" t="str">
        <f t="array" ref="J3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1" s="8" t="str">
        <f t="array" ref="K311">IF(I311=1,"Event",IF(J311="-","Normal",IF(INDEX(Event_Rumor!$G$2:$G$9,MATCH(J311,Event_Rumor!$A$2:$A$9,0))&gt;ROW(),"Pre","Post")))</f>
        <v>Normal</v>
      </c>
      <c r="L311" s="11" t="str">
        <f t="array" ref="L311">IF(J311="-","-",INDEX(Event_Rumor!$E$2:$E$9,MATCH(J311,Event_Rumor!$A$2:$A$9,0)))</f>
        <v>-</v>
      </c>
    </row>
    <row r="312" spans="1:12" ht="15" customHeight="1" x14ac:dyDescent="0.3">
      <c r="A312" s="26">
        <v>45777</v>
      </c>
      <c r="B312" s="6">
        <v>19200</v>
      </c>
      <c r="C312" s="6">
        <v>19200</v>
      </c>
      <c r="D312" s="6">
        <v>19104</v>
      </c>
      <c r="E312" s="6">
        <v>19104</v>
      </c>
      <c r="F312" s="6">
        <v>27400</v>
      </c>
      <c r="G312" s="7">
        <f t="shared" ref="G312:H312" si="309">(E312-E311)/E311</f>
        <v>-5.0000000000000001E-3</v>
      </c>
      <c r="H312" s="7">
        <f t="shared" si="309"/>
        <v>0.44210526315789472</v>
      </c>
      <c r="I312" s="8">
        <f>IF(COUNTIF(Event_Rumor!$B$2:$B$9,A312)&gt;0,1,0)</f>
        <v>0</v>
      </c>
      <c r="J312" s="8" t="str">
        <f t="array" ref="J3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2" s="8" t="str">
        <f t="array" ref="K312">IF(I312=1,"Event",IF(J312="-","Normal",IF(INDEX(Event_Rumor!$G$2:$G$9,MATCH(J312,Event_Rumor!$A$2:$A$9,0))&gt;ROW(),"Pre","Post")))</f>
        <v>Normal</v>
      </c>
      <c r="L312" s="11" t="str">
        <f t="array" ref="L312">IF(J312="-","-",INDEX(Event_Rumor!$E$2:$E$9,MATCH(J312,Event_Rumor!$A$2:$A$9,0)))</f>
        <v>-</v>
      </c>
    </row>
    <row r="313" spans="1:12" ht="15" customHeight="1" x14ac:dyDescent="0.3">
      <c r="A313" s="26">
        <v>45779</v>
      </c>
      <c r="B313" s="6">
        <v>19104</v>
      </c>
      <c r="C313" s="6">
        <v>19224</v>
      </c>
      <c r="D313" s="6">
        <v>19104</v>
      </c>
      <c r="E313" s="6">
        <v>19224</v>
      </c>
      <c r="F313" s="6">
        <v>8100</v>
      </c>
      <c r="G313" s="7">
        <f t="shared" ref="G313:H313" si="310">(E313-E312)/E312</f>
        <v>6.2814070351758797E-3</v>
      </c>
      <c r="H313" s="7">
        <f t="shared" si="310"/>
        <v>-0.70437956204379559</v>
      </c>
      <c r="I313" s="8">
        <f>IF(COUNTIF(Event_Rumor!$B$2:$B$9,A313)&gt;0,1,0)</f>
        <v>0</v>
      </c>
      <c r="J313" s="8" t="str">
        <f t="array" ref="J3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3" s="8" t="str">
        <f t="array" ref="K313">IF(I313=1,"Event",IF(J313="-","Normal",IF(INDEX(Event_Rumor!$G$2:$G$9,MATCH(J313,Event_Rumor!$A$2:$A$9,0))&gt;ROW(),"Pre","Post")))</f>
        <v>Normal</v>
      </c>
      <c r="L313" s="11" t="str">
        <f t="array" ref="L313">IF(J313="-","-",INDEX(Event_Rumor!$E$2:$E$9,MATCH(J313,Event_Rumor!$A$2:$A$9,0)))</f>
        <v>-</v>
      </c>
    </row>
    <row r="314" spans="1:12" ht="15" customHeight="1" x14ac:dyDescent="0.3">
      <c r="A314" s="26">
        <v>45782</v>
      </c>
      <c r="B314" s="6">
        <v>19007</v>
      </c>
      <c r="C314" s="6">
        <v>19273</v>
      </c>
      <c r="D314" s="6">
        <v>18935</v>
      </c>
      <c r="E314" s="6">
        <v>18935</v>
      </c>
      <c r="F314" s="6">
        <v>25100</v>
      </c>
      <c r="G314" s="7">
        <f t="shared" ref="G314:H314" si="311">(E314-E313)/E313</f>
        <v>-1.5033291718684977E-2</v>
      </c>
      <c r="H314" s="7">
        <f t="shared" si="311"/>
        <v>2.0987654320987654</v>
      </c>
      <c r="I314" s="8">
        <f>IF(COUNTIF(Event_Rumor!$B$2:$B$9,A314)&gt;0,1,0)</f>
        <v>0</v>
      </c>
      <c r="J314" s="8" t="str">
        <f t="array" ref="J3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4" s="8" t="str">
        <f t="array" ref="K314">IF(I314=1,"Event",IF(J314="-","Normal",IF(INDEX(Event_Rumor!$G$2:$G$9,MATCH(J314,Event_Rumor!$A$2:$A$9,0))&gt;ROW(),"Pre","Post")))</f>
        <v>Normal</v>
      </c>
      <c r="L314" s="11" t="str">
        <f t="array" ref="L314">IF(J314="-","-",INDEX(Event_Rumor!$E$2:$E$9,MATCH(J314,Event_Rumor!$A$2:$A$9,0)))</f>
        <v>-</v>
      </c>
    </row>
    <row r="315" spans="1:12" ht="15" customHeight="1" x14ac:dyDescent="0.3">
      <c r="A315" s="26">
        <v>45783</v>
      </c>
      <c r="B315" s="6">
        <v>19200</v>
      </c>
      <c r="C315" s="6">
        <v>19563</v>
      </c>
      <c r="D315" s="6">
        <v>19031</v>
      </c>
      <c r="E315" s="6">
        <v>19466</v>
      </c>
      <c r="F315" s="6">
        <v>84100</v>
      </c>
      <c r="G315" s="7">
        <f t="shared" ref="G315:H315" si="312">(E315-E314)/E314</f>
        <v>2.8043306047002906E-2</v>
      </c>
      <c r="H315" s="7">
        <f t="shared" si="312"/>
        <v>2.3505976095617531</v>
      </c>
      <c r="I315" s="8">
        <f>IF(COUNTIF(Event_Rumor!$B$2:$B$9,A315)&gt;0,1,0)</f>
        <v>0</v>
      </c>
      <c r="J315" s="8" t="str">
        <f t="array" ref="J3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5" s="8" t="str">
        <f t="array" ref="K315">IF(I315=1,"Event",IF(J315="-","Normal",IF(INDEX(Event_Rumor!$G$2:$G$9,MATCH(J315,Event_Rumor!$A$2:$A$9,0))&gt;ROW(),"Pre","Post")))</f>
        <v>Normal</v>
      </c>
      <c r="L315" s="11" t="str">
        <f t="array" ref="L315">IF(J315="-","-",INDEX(Event_Rumor!$E$2:$E$9,MATCH(J315,Event_Rumor!$A$2:$A$9,0)))</f>
        <v>-</v>
      </c>
    </row>
    <row r="316" spans="1:12" ht="15" customHeight="1" x14ac:dyDescent="0.3">
      <c r="A316" s="26">
        <v>45784</v>
      </c>
      <c r="B316" s="6">
        <v>19466</v>
      </c>
      <c r="C316" s="6">
        <v>19563</v>
      </c>
      <c r="D316" s="6">
        <v>19152</v>
      </c>
      <c r="E316" s="6">
        <v>19538</v>
      </c>
      <c r="F316" s="6">
        <v>104800</v>
      </c>
      <c r="G316" s="7">
        <f t="shared" ref="G316:H316" si="313">(E316-E315)/E315</f>
        <v>3.698756806739957E-3</v>
      </c>
      <c r="H316" s="7">
        <f t="shared" si="313"/>
        <v>0.24613555291319858</v>
      </c>
      <c r="I316" s="8">
        <f>IF(COUNTIF(Event_Rumor!$B$2:$B$9,A316)&gt;0,1,0)</f>
        <v>0</v>
      </c>
      <c r="J316" s="8" t="str">
        <f t="array" ref="J3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6" s="8" t="str">
        <f t="array" ref="K316">IF(I316=1,"Event",IF(J316="-","Normal",IF(INDEX(Event_Rumor!$G$2:$G$9,MATCH(J316,Event_Rumor!$A$2:$A$9,0))&gt;ROW(),"Pre","Post")))</f>
        <v>Normal</v>
      </c>
      <c r="L316" s="11" t="str">
        <f t="array" ref="L316">IF(J316="-","-",INDEX(Event_Rumor!$E$2:$E$9,MATCH(J316,Event_Rumor!$A$2:$A$9,0)))</f>
        <v>-</v>
      </c>
    </row>
    <row r="317" spans="1:12" ht="15" customHeight="1" x14ac:dyDescent="0.3">
      <c r="A317" s="26">
        <v>45785</v>
      </c>
      <c r="B317" s="6">
        <v>19538</v>
      </c>
      <c r="C317" s="6">
        <v>19538</v>
      </c>
      <c r="D317" s="6">
        <v>19321</v>
      </c>
      <c r="E317" s="6">
        <v>19538</v>
      </c>
      <c r="F317" s="6">
        <v>59100</v>
      </c>
      <c r="G317" s="7">
        <f t="shared" ref="G317:H317" si="314">(E317-E316)/E316</f>
        <v>0</v>
      </c>
      <c r="H317" s="7">
        <f t="shared" si="314"/>
        <v>-0.43606870229007633</v>
      </c>
      <c r="I317" s="8">
        <f>IF(COUNTIF(Event_Rumor!$B$2:$B$9,A317)&gt;0,1,0)</f>
        <v>0</v>
      </c>
      <c r="J317" s="8" t="str">
        <f t="array" ref="J3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7" s="8" t="str">
        <f t="array" ref="K317">IF(I317=1,"Event",IF(J317="-","Normal",IF(INDEX(Event_Rumor!$G$2:$G$9,MATCH(J317,Event_Rumor!$A$2:$A$9,0))&gt;ROW(),"Pre","Post")))</f>
        <v>Normal</v>
      </c>
      <c r="L317" s="11" t="str">
        <f t="array" ref="L317">IF(J317="-","-",INDEX(Event_Rumor!$E$2:$E$9,MATCH(J317,Event_Rumor!$A$2:$A$9,0)))</f>
        <v>-</v>
      </c>
    </row>
    <row r="318" spans="1:12" ht="15" customHeight="1" x14ac:dyDescent="0.3">
      <c r="A318" s="26">
        <v>45786</v>
      </c>
      <c r="B318" s="6">
        <v>19514</v>
      </c>
      <c r="C318" s="6">
        <v>19538</v>
      </c>
      <c r="D318" s="6">
        <v>19418</v>
      </c>
      <c r="E318" s="6">
        <v>19514</v>
      </c>
      <c r="F318" s="6">
        <v>49700</v>
      </c>
      <c r="G318" s="7">
        <f t="shared" ref="G318:H318" si="315">(E318-E317)/E317</f>
        <v>-1.2283754734363805E-3</v>
      </c>
      <c r="H318" s="7">
        <f t="shared" si="315"/>
        <v>-0.15905245346869712</v>
      </c>
      <c r="I318" s="8">
        <f>IF(COUNTIF(Event_Rumor!$B$2:$B$9,A318)&gt;0,1,0)</f>
        <v>0</v>
      </c>
      <c r="J318" s="8" t="str">
        <f t="array" ref="J3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8" s="8" t="str">
        <f t="array" ref="K318">IF(I318=1,"Event",IF(J318="-","Normal",IF(INDEX(Event_Rumor!$G$2:$G$9,MATCH(J318,Event_Rumor!$A$2:$A$9,0))&gt;ROW(),"Pre","Post")))</f>
        <v>Normal</v>
      </c>
      <c r="L318" s="11" t="str">
        <f t="array" ref="L318">IF(J318="-","-",INDEX(Event_Rumor!$E$2:$E$9,MATCH(J318,Event_Rumor!$A$2:$A$9,0)))</f>
        <v>-</v>
      </c>
    </row>
    <row r="319" spans="1:12" ht="15" customHeight="1" x14ac:dyDescent="0.3">
      <c r="A319" s="26">
        <v>45791</v>
      </c>
      <c r="B319" s="6">
        <v>19466</v>
      </c>
      <c r="C319" s="6">
        <v>19514</v>
      </c>
      <c r="D319" s="6">
        <v>19200</v>
      </c>
      <c r="E319" s="6">
        <v>19418</v>
      </c>
      <c r="F319" s="6">
        <v>68200</v>
      </c>
      <c r="G319" s="7">
        <f t="shared" ref="G319:H319" si="316">(E319-E318)/E318</f>
        <v>-4.9195449420928565E-3</v>
      </c>
      <c r="H319" s="7">
        <f t="shared" si="316"/>
        <v>0.37223340040241448</v>
      </c>
      <c r="I319" s="8">
        <f>IF(COUNTIF(Event_Rumor!$B$2:$B$9,A319)&gt;0,1,0)</f>
        <v>0</v>
      </c>
      <c r="J319" s="8" t="str">
        <f t="array" ref="J3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19" s="8" t="str">
        <f t="array" ref="K319">IF(I319=1,"Event",IF(J319="-","Normal",IF(INDEX(Event_Rumor!$G$2:$G$9,MATCH(J319,Event_Rumor!$A$2:$A$9,0))&gt;ROW(),"Pre","Post")))</f>
        <v>Normal</v>
      </c>
      <c r="L319" s="11" t="str">
        <f t="array" ref="L319">IF(J319="-","-",INDEX(Event_Rumor!$E$2:$E$9,MATCH(J319,Event_Rumor!$A$2:$A$9,0)))</f>
        <v>-</v>
      </c>
    </row>
    <row r="320" spans="1:12" ht="15" customHeight="1" x14ac:dyDescent="0.3">
      <c r="A320" s="26">
        <v>45792</v>
      </c>
      <c r="B320" s="6">
        <v>19418</v>
      </c>
      <c r="C320" s="6">
        <v>19514</v>
      </c>
      <c r="D320" s="6">
        <v>19224</v>
      </c>
      <c r="E320" s="6">
        <v>19297</v>
      </c>
      <c r="F320" s="6">
        <v>44300</v>
      </c>
      <c r="G320" s="7">
        <f t="shared" ref="G320:H320" si="317">(E320-E319)/E319</f>
        <v>-6.2313317540426405E-3</v>
      </c>
      <c r="H320" s="7">
        <f t="shared" si="317"/>
        <v>-0.35043988269794724</v>
      </c>
      <c r="I320" s="8">
        <f>IF(COUNTIF(Event_Rumor!$B$2:$B$9,A320)&gt;0,1,0)</f>
        <v>0</v>
      </c>
      <c r="J320" s="8" t="str">
        <f t="array" ref="J3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0" s="8" t="str">
        <f t="array" ref="K320">IF(I320=1,"Event",IF(J320="-","Normal",IF(INDEX(Event_Rumor!$G$2:$G$9,MATCH(J320,Event_Rumor!$A$2:$A$9,0))&gt;ROW(),"Pre","Post")))</f>
        <v>Normal</v>
      </c>
      <c r="L320" s="11" t="str">
        <f t="array" ref="L320">IF(J320="-","-",INDEX(Event_Rumor!$E$2:$E$9,MATCH(J320,Event_Rumor!$A$2:$A$9,0)))</f>
        <v>-</v>
      </c>
    </row>
    <row r="321" spans="1:12" ht="15" customHeight="1" x14ac:dyDescent="0.3">
      <c r="A321" s="26">
        <v>45793</v>
      </c>
      <c r="B321" s="6">
        <v>19249</v>
      </c>
      <c r="C321" s="6">
        <v>19393</v>
      </c>
      <c r="D321" s="6">
        <v>19224</v>
      </c>
      <c r="E321" s="6">
        <v>19321</v>
      </c>
      <c r="F321" s="6">
        <v>6200</v>
      </c>
      <c r="G321" s="7">
        <f t="shared" ref="G321:H321" si="318">(E321-E320)/E320</f>
        <v>1.2437166398922112E-3</v>
      </c>
      <c r="H321" s="7">
        <f t="shared" si="318"/>
        <v>-0.86004514672686228</v>
      </c>
      <c r="I321" s="8">
        <f>IF(COUNTIF(Event_Rumor!$B$2:$B$9,A321)&gt;0,1,0)</f>
        <v>0</v>
      </c>
      <c r="J321" s="8" t="str">
        <f t="array" ref="J3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1" s="8" t="str">
        <f t="array" ref="K321">IF(I321=1,"Event",IF(J321="-","Normal",IF(INDEX(Event_Rumor!$G$2:$G$9,MATCH(J321,Event_Rumor!$A$2:$A$9,0))&gt;ROW(),"Pre","Post")))</f>
        <v>Normal</v>
      </c>
      <c r="L321" s="11" t="str">
        <f t="array" ref="L321">IF(J321="-","-",INDEX(Event_Rumor!$E$2:$E$9,MATCH(J321,Event_Rumor!$A$2:$A$9,0)))</f>
        <v>-</v>
      </c>
    </row>
    <row r="322" spans="1:12" ht="15" customHeight="1" x14ac:dyDescent="0.3">
      <c r="A322" s="26">
        <v>45796</v>
      </c>
      <c r="B322" s="6">
        <v>19321</v>
      </c>
      <c r="C322" s="6">
        <v>19345</v>
      </c>
      <c r="D322" s="6">
        <v>19176</v>
      </c>
      <c r="E322" s="6">
        <v>19345</v>
      </c>
      <c r="F322" s="6">
        <v>13500</v>
      </c>
      <c r="G322" s="7">
        <f t="shared" ref="G322:H322" si="319">(E322-E321)/E321</f>
        <v>1.2421717302417059E-3</v>
      </c>
      <c r="H322" s="7">
        <f t="shared" si="319"/>
        <v>1.1774193548387097</v>
      </c>
      <c r="I322" s="8">
        <f>IF(COUNTIF(Event_Rumor!$B$2:$B$9,A322)&gt;0,1,0)</f>
        <v>0</v>
      </c>
      <c r="J322" s="8" t="str">
        <f t="array" ref="J3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2" s="8" t="str">
        <f t="array" ref="K322">IF(I322=1,"Event",IF(J322="-","Normal",IF(INDEX(Event_Rumor!$G$2:$G$9,MATCH(J322,Event_Rumor!$A$2:$A$9,0))&gt;ROW(),"Pre","Post")))</f>
        <v>Normal</v>
      </c>
      <c r="L322" s="11" t="str">
        <f t="array" ref="L322">IF(J322="-","-",INDEX(Event_Rumor!$E$2:$E$9,MATCH(J322,Event_Rumor!$A$2:$A$9,0)))</f>
        <v>-</v>
      </c>
    </row>
    <row r="323" spans="1:12" ht="15" customHeight="1" x14ac:dyDescent="0.3">
      <c r="A323" s="26">
        <v>45797</v>
      </c>
      <c r="B323" s="6">
        <v>19321</v>
      </c>
      <c r="C323" s="6">
        <v>19369</v>
      </c>
      <c r="D323" s="6">
        <v>19273</v>
      </c>
      <c r="E323" s="6">
        <v>19273</v>
      </c>
      <c r="F323" s="6">
        <v>7200</v>
      </c>
      <c r="G323" s="7">
        <f t="shared" ref="G323:H323" si="320">(E323-E322)/E322</f>
        <v>-3.7218919617472215E-3</v>
      </c>
      <c r="H323" s="7">
        <f t="shared" si="320"/>
        <v>-0.46666666666666667</v>
      </c>
      <c r="I323" s="8">
        <f>IF(COUNTIF(Event_Rumor!$B$2:$B$9,A323)&gt;0,1,0)</f>
        <v>0</v>
      </c>
      <c r="J323" s="8" t="str">
        <f t="array" ref="J3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3" s="8" t="str">
        <f t="array" ref="K323">IF(I323=1,"Event",IF(J323="-","Normal",IF(INDEX(Event_Rumor!$G$2:$G$9,MATCH(J323,Event_Rumor!$A$2:$A$9,0))&gt;ROW(),"Pre","Post")))</f>
        <v>Normal</v>
      </c>
      <c r="L323" s="11" t="str">
        <f t="array" ref="L323">IF(J323="-","-",INDEX(Event_Rumor!$E$2:$E$9,MATCH(J323,Event_Rumor!$A$2:$A$9,0)))</f>
        <v>-</v>
      </c>
    </row>
    <row r="324" spans="1:12" ht="15" customHeight="1" x14ac:dyDescent="0.3">
      <c r="A324" s="26">
        <v>45798</v>
      </c>
      <c r="B324" s="6">
        <v>19249</v>
      </c>
      <c r="C324" s="6">
        <v>19321</v>
      </c>
      <c r="D324" s="6">
        <v>19224</v>
      </c>
      <c r="E324" s="6">
        <v>19273</v>
      </c>
      <c r="F324" s="6">
        <v>9200</v>
      </c>
      <c r="G324" s="7">
        <f t="shared" ref="G324:H324" si="321">(E324-E323)/E323</f>
        <v>0</v>
      </c>
      <c r="H324" s="7">
        <f t="shared" si="321"/>
        <v>0.27777777777777779</v>
      </c>
      <c r="I324" s="8">
        <f>IF(COUNTIF(Event_Rumor!$B$2:$B$9,A324)&gt;0,1,0)</f>
        <v>0</v>
      </c>
      <c r="J324" s="8" t="str">
        <f t="array" ref="J3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4" s="8" t="str">
        <f t="array" ref="K324">IF(I324=1,"Event",IF(J324="-","Normal",IF(INDEX(Event_Rumor!$G$2:$G$9,MATCH(J324,Event_Rumor!$A$2:$A$9,0))&gt;ROW(),"Pre","Post")))</f>
        <v>Normal</v>
      </c>
      <c r="L324" s="11" t="str">
        <f t="array" ref="L324">IF(J324="-","-",INDEX(Event_Rumor!$E$2:$E$9,MATCH(J324,Event_Rumor!$A$2:$A$9,0)))</f>
        <v>-</v>
      </c>
    </row>
    <row r="325" spans="1:12" ht="15" customHeight="1" x14ac:dyDescent="0.3">
      <c r="A325" s="26">
        <v>45799</v>
      </c>
      <c r="B325" s="6">
        <v>19273</v>
      </c>
      <c r="C325" s="6">
        <v>19297</v>
      </c>
      <c r="D325" s="6">
        <v>19128</v>
      </c>
      <c r="E325" s="6">
        <v>19273</v>
      </c>
      <c r="F325" s="6">
        <v>17300</v>
      </c>
      <c r="G325" s="7">
        <f t="shared" ref="G325:H325" si="322">(E325-E324)/E324</f>
        <v>0</v>
      </c>
      <c r="H325" s="7">
        <f t="shared" si="322"/>
        <v>0.88043478260869568</v>
      </c>
      <c r="I325" s="8">
        <f>IF(COUNTIF(Event_Rumor!$B$2:$B$9,A325)&gt;0,1,0)</f>
        <v>0</v>
      </c>
      <c r="J325" s="8" t="str">
        <f t="array" ref="J3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5" s="8" t="str">
        <f t="array" ref="K325">IF(I325=1,"Event",IF(J325="-","Normal",IF(INDEX(Event_Rumor!$G$2:$G$9,MATCH(J325,Event_Rumor!$A$2:$A$9,0))&gt;ROW(),"Pre","Post")))</f>
        <v>Normal</v>
      </c>
      <c r="L325" s="11" t="str">
        <f t="array" ref="L325">IF(J325="-","-",INDEX(Event_Rumor!$E$2:$E$9,MATCH(J325,Event_Rumor!$A$2:$A$9,0)))</f>
        <v>-</v>
      </c>
    </row>
    <row r="326" spans="1:12" ht="15" customHeight="1" x14ac:dyDescent="0.3">
      <c r="A326" s="26">
        <v>45800</v>
      </c>
      <c r="B326" s="6">
        <v>19297</v>
      </c>
      <c r="C326" s="6">
        <v>19297</v>
      </c>
      <c r="D326" s="6">
        <v>19200</v>
      </c>
      <c r="E326" s="6">
        <v>19297</v>
      </c>
      <c r="F326" s="6">
        <v>6200</v>
      </c>
      <c r="G326" s="7">
        <f t="shared" ref="G326:H326" si="323">(E326-E325)/E325</f>
        <v>1.2452653971877757E-3</v>
      </c>
      <c r="H326" s="7">
        <f t="shared" si="323"/>
        <v>-0.64161849710982655</v>
      </c>
      <c r="I326" s="8">
        <f>IF(COUNTIF(Event_Rumor!$B$2:$B$9,A326)&gt;0,1,0)</f>
        <v>0</v>
      </c>
      <c r="J326" s="8" t="str">
        <f t="array" ref="J3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6" s="8" t="str">
        <f t="array" ref="K326">IF(I326=1,"Event",IF(J326="-","Normal",IF(INDEX(Event_Rumor!$G$2:$G$9,MATCH(J326,Event_Rumor!$A$2:$A$9,0))&gt;ROW(),"Pre","Post")))</f>
        <v>Normal</v>
      </c>
      <c r="L326" s="11" t="str">
        <f t="array" ref="L326">IF(J326="-","-",INDEX(Event_Rumor!$E$2:$E$9,MATCH(J326,Event_Rumor!$A$2:$A$9,0)))</f>
        <v>-</v>
      </c>
    </row>
    <row r="327" spans="1:12" ht="15" customHeight="1" x14ac:dyDescent="0.3">
      <c r="A327" s="26">
        <v>45803</v>
      </c>
      <c r="B327" s="6">
        <v>19273</v>
      </c>
      <c r="C327" s="6">
        <v>19321</v>
      </c>
      <c r="D327" s="6">
        <v>19249</v>
      </c>
      <c r="E327" s="6">
        <v>19297</v>
      </c>
      <c r="F327" s="6">
        <v>7100</v>
      </c>
      <c r="G327" s="7">
        <f t="shared" ref="G327:H327" si="324">(E327-E326)/E326</f>
        <v>0</v>
      </c>
      <c r="H327" s="7">
        <f t="shared" si="324"/>
        <v>0.14516129032258066</v>
      </c>
      <c r="I327" s="8">
        <f>IF(COUNTIF(Event_Rumor!$B$2:$B$9,A327)&gt;0,1,0)</f>
        <v>0</v>
      </c>
      <c r="J327" s="8" t="str">
        <f t="array" ref="J3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7" s="8" t="str">
        <f t="array" ref="K327">IF(I327=1,"Event",IF(J327="-","Normal",IF(INDEX(Event_Rumor!$G$2:$G$9,MATCH(J327,Event_Rumor!$A$2:$A$9,0))&gt;ROW(),"Pre","Post")))</f>
        <v>Normal</v>
      </c>
      <c r="L327" s="11" t="str">
        <f t="array" ref="L327">IF(J327="-","-",INDEX(Event_Rumor!$E$2:$E$9,MATCH(J327,Event_Rumor!$A$2:$A$9,0)))</f>
        <v>-</v>
      </c>
    </row>
    <row r="328" spans="1:12" ht="15" customHeight="1" x14ac:dyDescent="0.3">
      <c r="A328" s="26">
        <v>45804</v>
      </c>
      <c r="B328" s="6">
        <v>19297</v>
      </c>
      <c r="C328" s="6">
        <v>19321</v>
      </c>
      <c r="D328" s="6">
        <v>19273</v>
      </c>
      <c r="E328" s="6">
        <v>19273</v>
      </c>
      <c r="F328" s="6">
        <v>7900</v>
      </c>
      <c r="G328" s="7">
        <f t="shared" ref="G328:H328" si="325">(E328-E327)/E327</f>
        <v>-1.2437166398922112E-3</v>
      </c>
      <c r="H328" s="7">
        <f t="shared" si="325"/>
        <v>0.11267605633802817</v>
      </c>
      <c r="I328" s="8">
        <f>IF(COUNTIF(Event_Rumor!$B$2:$B$9,A328)&gt;0,1,0)</f>
        <v>0</v>
      </c>
      <c r="J328" s="8" t="str">
        <f t="array" ref="J3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8" s="8" t="str">
        <f t="array" ref="K328">IF(I328=1,"Event",IF(J328="-","Normal",IF(INDEX(Event_Rumor!$G$2:$G$9,MATCH(J328,Event_Rumor!$A$2:$A$9,0))&gt;ROW(),"Pre","Post")))</f>
        <v>Normal</v>
      </c>
      <c r="L328" s="11" t="str">
        <f t="array" ref="L328">IF(J328="-","-",INDEX(Event_Rumor!$E$2:$E$9,MATCH(J328,Event_Rumor!$A$2:$A$9,0)))</f>
        <v>-</v>
      </c>
    </row>
    <row r="329" spans="1:12" ht="15" customHeight="1" x14ac:dyDescent="0.3">
      <c r="A329" s="26">
        <v>45805</v>
      </c>
      <c r="B329" s="6">
        <v>19321</v>
      </c>
      <c r="C329" s="6">
        <v>19321</v>
      </c>
      <c r="D329" s="6">
        <v>19224</v>
      </c>
      <c r="E329" s="6">
        <v>19224</v>
      </c>
      <c r="F329" s="6">
        <v>1600</v>
      </c>
      <c r="G329" s="7">
        <f t="shared" ref="G329:H329" si="326">(E329-E328)/E328</f>
        <v>-2.5424168525917086E-3</v>
      </c>
      <c r="H329" s="7">
        <f t="shared" si="326"/>
        <v>-0.79746835443037978</v>
      </c>
      <c r="I329" s="8">
        <f>IF(COUNTIF(Event_Rumor!$B$2:$B$9,A329)&gt;0,1,0)</f>
        <v>0</v>
      </c>
      <c r="J329" s="8" t="str">
        <f t="array" ref="J3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29" s="8" t="str">
        <f t="array" ref="K329">IF(I329=1,"Event",IF(J329="-","Normal",IF(INDEX(Event_Rumor!$G$2:$G$9,MATCH(J329,Event_Rumor!$A$2:$A$9,0))&gt;ROW(),"Pre","Post")))</f>
        <v>Normal</v>
      </c>
      <c r="L329" s="11" t="str">
        <f t="array" ref="L329">IF(J329="-","-",INDEX(Event_Rumor!$E$2:$E$9,MATCH(J329,Event_Rumor!$A$2:$A$9,0)))</f>
        <v>-</v>
      </c>
    </row>
    <row r="330" spans="1:12" ht="15" customHeight="1" x14ac:dyDescent="0.3">
      <c r="A330" s="26">
        <v>45810</v>
      </c>
      <c r="B330" s="6">
        <v>19224</v>
      </c>
      <c r="C330" s="6">
        <v>19273</v>
      </c>
      <c r="D330" s="6">
        <v>19176</v>
      </c>
      <c r="E330" s="6">
        <v>19176</v>
      </c>
      <c r="F330" s="6">
        <v>7300</v>
      </c>
      <c r="G330" s="7">
        <f t="shared" ref="G330:H330" si="327">(E330-E329)/E329</f>
        <v>-2.4968789013732834E-3</v>
      </c>
      <c r="H330" s="7">
        <f t="shared" si="327"/>
        <v>3.5625</v>
      </c>
      <c r="I330" s="8">
        <f>IF(COUNTIF(Event_Rumor!$B$2:$B$9,A330)&gt;0,1,0)</f>
        <v>0</v>
      </c>
      <c r="J330" s="8" t="str">
        <f t="array" ref="J3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0" s="8" t="str">
        <f t="array" ref="K330">IF(I330=1,"Event",IF(J330="-","Normal",IF(INDEX(Event_Rumor!$G$2:$G$9,MATCH(J330,Event_Rumor!$A$2:$A$9,0))&gt;ROW(),"Pre","Post")))</f>
        <v>Normal</v>
      </c>
      <c r="L330" s="11" t="str">
        <f t="array" ref="L330">IF(J330="-","-",INDEX(Event_Rumor!$E$2:$E$9,MATCH(J330,Event_Rumor!$A$2:$A$9,0)))</f>
        <v>-</v>
      </c>
    </row>
    <row r="331" spans="1:12" ht="15" customHeight="1" x14ac:dyDescent="0.3">
      <c r="A331" s="26">
        <v>45811</v>
      </c>
      <c r="B331" s="6">
        <v>19176</v>
      </c>
      <c r="C331" s="6">
        <v>19224</v>
      </c>
      <c r="D331" s="6">
        <v>19176</v>
      </c>
      <c r="E331" s="6">
        <v>19176</v>
      </c>
      <c r="F331" s="6">
        <v>10000</v>
      </c>
      <c r="G331" s="7">
        <f t="shared" ref="G331:H331" si="328">(E331-E330)/E330</f>
        <v>0</v>
      </c>
      <c r="H331" s="7">
        <f t="shared" si="328"/>
        <v>0.36986301369863012</v>
      </c>
      <c r="I331" s="8">
        <f>IF(COUNTIF(Event_Rumor!$B$2:$B$9,A331)&gt;0,1,0)</f>
        <v>0</v>
      </c>
      <c r="J331" s="8" t="str">
        <f t="array" ref="J3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1" s="8" t="str">
        <f t="array" ref="K331">IF(I331=1,"Event",IF(J331="-","Normal",IF(INDEX(Event_Rumor!$G$2:$G$9,MATCH(J331,Event_Rumor!$A$2:$A$9,0))&gt;ROW(),"Pre","Post")))</f>
        <v>Normal</v>
      </c>
      <c r="L331" s="11" t="str">
        <f t="array" ref="L331">IF(J331="-","-",INDEX(Event_Rumor!$E$2:$E$9,MATCH(J331,Event_Rumor!$A$2:$A$9,0)))</f>
        <v>-</v>
      </c>
    </row>
    <row r="332" spans="1:12" ht="15" customHeight="1" x14ac:dyDescent="0.3">
      <c r="A332" s="26">
        <v>45812</v>
      </c>
      <c r="B332" s="6">
        <v>19176</v>
      </c>
      <c r="C332" s="6">
        <v>19224</v>
      </c>
      <c r="D332" s="6">
        <v>19079</v>
      </c>
      <c r="E332" s="6">
        <v>19104</v>
      </c>
      <c r="F332" s="6">
        <v>7500</v>
      </c>
      <c r="G332" s="7">
        <f t="shared" ref="G332:H332" si="329">(E332-E331)/E331</f>
        <v>-3.7546933667083854E-3</v>
      </c>
      <c r="H332" s="7">
        <f t="shared" si="329"/>
        <v>-0.25</v>
      </c>
      <c r="I332" s="8">
        <f>IF(COUNTIF(Event_Rumor!$B$2:$B$9,A332)&gt;0,1,0)</f>
        <v>0</v>
      </c>
      <c r="J332" s="8" t="str">
        <f t="array" ref="J3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2" s="8" t="str">
        <f t="array" ref="K332">IF(I332=1,"Event",IF(J332="-","Normal",IF(INDEX(Event_Rumor!$G$2:$G$9,MATCH(J332,Event_Rumor!$A$2:$A$9,0))&gt;ROW(),"Pre","Post")))</f>
        <v>Normal</v>
      </c>
      <c r="L332" s="11" t="str">
        <f t="array" ref="L332">IF(J332="-","-",INDEX(Event_Rumor!$E$2:$E$9,MATCH(J332,Event_Rumor!$A$2:$A$9,0)))</f>
        <v>-</v>
      </c>
    </row>
    <row r="333" spans="1:12" ht="15" customHeight="1" x14ac:dyDescent="0.3">
      <c r="A333" s="26">
        <v>45813</v>
      </c>
      <c r="B333" s="6">
        <v>19104</v>
      </c>
      <c r="C333" s="6">
        <v>19176</v>
      </c>
      <c r="D333" s="6">
        <v>19104</v>
      </c>
      <c r="E333" s="6">
        <v>19104</v>
      </c>
      <c r="F333" s="6">
        <v>11800</v>
      </c>
      <c r="G333" s="7">
        <f t="shared" ref="G333:H333" si="330">(E333-E332)/E332</f>
        <v>0</v>
      </c>
      <c r="H333" s="7">
        <f t="shared" si="330"/>
        <v>0.57333333333333336</v>
      </c>
      <c r="I333" s="8">
        <f>IF(COUNTIF(Event_Rumor!$B$2:$B$9,A333)&gt;0,1,0)</f>
        <v>0</v>
      </c>
      <c r="J333" s="8" t="str">
        <f t="array" ref="J3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3" s="8" t="str">
        <f t="array" ref="K333">IF(I333=1,"Event",IF(J333="-","Normal",IF(INDEX(Event_Rumor!$G$2:$G$9,MATCH(J333,Event_Rumor!$A$2:$A$9,0))&gt;ROW(),"Pre","Post")))</f>
        <v>Normal</v>
      </c>
      <c r="L333" s="11" t="str">
        <f t="array" ref="L333">IF(J333="-","-",INDEX(Event_Rumor!$E$2:$E$9,MATCH(J333,Event_Rumor!$A$2:$A$9,0)))</f>
        <v>-</v>
      </c>
    </row>
    <row r="334" spans="1:12" ht="15" customHeight="1" x14ac:dyDescent="0.3">
      <c r="A334" s="26">
        <v>45818</v>
      </c>
      <c r="B334" s="6">
        <v>19079</v>
      </c>
      <c r="C334" s="6">
        <v>19104</v>
      </c>
      <c r="D334" s="6">
        <v>19055</v>
      </c>
      <c r="E334" s="6">
        <v>19104</v>
      </c>
      <c r="F334" s="6">
        <v>13200</v>
      </c>
      <c r="G334" s="7">
        <f t="shared" ref="G334:H334" si="331">(E334-E333)/E333</f>
        <v>0</v>
      </c>
      <c r="H334" s="7">
        <f t="shared" si="331"/>
        <v>0.11864406779661017</v>
      </c>
      <c r="I334" s="8">
        <f>IF(COUNTIF(Event_Rumor!$B$2:$B$9,A334)&gt;0,1,0)</f>
        <v>0</v>
      </c>
      <c r="J334" s="8" t="str">
        <f t="array" ref="J3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4" s="8" t="str">
        <f t="array" ref="K334">IF(I334=1,"Event",IF(J334="-","Normal",IF(INDEX(Event_Rumor!$G$2:$G$9,MATCH(J334,Event_Rumor!$A$2:$A$9,0))&gt;ROW(),"Pre","Post")))</f>
        <v>Normal</v>
      </c>
      <c r="L334" s="11" t="str">
        <f t="array" ref="L334">IF(J334="-","-",INDEX(Event_Rumor!$E$2:$E$9,MATCH(J334,Event_Rumor!$A$2:$A$9,0)))</f>
        <v>-</v>
      </c>
    </row>
    <row r="335" spans="1:12" ht="15" customHeight="1" x14ac:dyDescent="0.3">
      <c r="A335" s="26">
        <v>45819</v>
      </c>
      <c r="B335" s="6">
        <v>19104</v>
      </c>
      <c r="C335" s="6">
        <v>19297</v>
      </c>
      <c r="D335" s="6">
        <v>19104</v>
      </c>
      <c r="E335" s="6">
        <v>19128</v>
      </c>
      <c r="F335" s="6">
        <v>9900</v>
      </c>
      <c r="G335" s="7">
        <f t="shared" ref="G335:H335" si="332">(E335-E334)/E334</f>
        <v>1.2562814070351759E-3</v>
      </c>
      <c r="H335" s="7">
        <f t="shared" si="332"/>
        <v>-0.25</v>
      </c>
      <c r="I335" s="8">
        <f>IF(COUNTIF(Event_Rumor!$B$2:$B$9,A335)&gt;0,1,0)</f>
        <v>0</v>
      </c>
      <c r="J335" s="8" t="str">
        <f t="array" ref="J3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5" s="8" t="str">
        <f t="array" ref="K335">IF(I335=1,"Event",IF(J335="-","Normal",IF(INDEX(Event_Rumor!$G$2:$G$9,MATCH(J335,Event_Rumor!$A$2:$A$9,0))&gt;ROW(),"Pre","Post")))</f>
        <v>Normal</v>
      </c>
      <c r="L335" s="11" t="str">
        <f t="array" ref="L335">IF(J335="-","-",INDEX(Event_Rumor!$E$2:$E$9,MATCH(J335,Event_Rumor!$A$2:$A$9,0)))</f>
        <v>-</v>
      </c>
    </row>
    <row r="336" spans="1:12" ht="15" customHeight="1" x14ac:dyDescent="0.3">
      <c r="A336" s="26">
        <v>45820</v>
      </c>
      <c r="B336" s="6">
        <v>19128</v>
      </c>
      <c r="C336" s="6">
        <v>19321</v>
      </c>
      <c r="D336" s="6">
        <v>19104</v>
      </c>
      <c r="E336" s="6">
        <v>19273</v>
      </c>
      <c r="F336" s="6">
        <v>12300</v>
      </c>
      <c r="G336" s="7">
        <f t="shared" ref="G336:H336" si="333">(E336-E335)/E335</f>
        <v>7.5805102467586781E-3</v>
      </c>
      <c r="H336" s="7">
        <f t="shared" si="333"/>
        <v>0.24242424242424243</v>
      </c>
      <c r="I336" s="8">
        <f>IF(COUNTIF(Event_Rumor!$B$2:$B$9,A336)&gt;0,1,0)</f>
        <v>0</v>
      </c>
      <c r="J336" s="8" t="str">
        <f t="array" ref="J3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6" s="8" t="str">
        <f t="array" ref="K336">IF(I336=1,"Event",IF(J336="-","Normal",IF(INDEX(Event_Rumor!$G$2:$G$9,MATCH(J336,Event_Rumor!$A$2:$A$9,0))&gt;ROW(),"Pre","Post")))</f>
        <v>Normal</v>
      </c>
      <c r="L336" s="11" t="str">
        <f t="array" ref="L336">IF(J336="-","-",INDEX(Event_Rumor!$E$2:$E$9,MATCH(J336,Event_Rumor!$A$2:$A$9,0)))</f>
        <v>-</v>
      </c>
    </row>
    <row r="337" spans="1:12" ht="15" customHeight="1" x14ac:dyDescent="0.3">
      <c r="A337" s="26">
        <v>45821</v>
      </c>
      <c r="B337" s="6">
        <v>19273</v>
      </c>
      <c r="C337" s="6">
        <v>19321</v>
      </c>
      <c r="D337" s="6">
        <v>19104</v>
      </c>
      <c r="E337" s="6">
        <v>19321</v>
      </c>
      <c r="F337" s="6">
        <v>6600</v>
      </c>
      <c r="G337" s="7">
        <f t="shared" ref="G337:H337" si="334">(E337-E336)/E336</f>
        <v>2.4905307943755514E-3</v>
      </c>
      <c r="H337" s="7">
        <f t="shared" si="334"/>
        <v>-0.46341463414634149</v>
      </c>
      <c r="I337" s="8">
        <f>IF(COUNTIF(Event_Rumor!$B$2:$B$9,A337)&gt;0,1,0)</f>
        <v>0</v>
      </c>
      <c r="J337" s="8" t="str">
        <f t="array" ref="J3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7" s="8" t="str">
        <f t="array" ref="K337">IF(I337=1,"Event",IF(J337="-","Normal",IF(INDEX(Event_Rumor!$G$2:$G$9,MATCH(J337,Event_Rumor!$A$2:$A$9,0))&gt;ROW(),"Pre","Post")))</f>
        <v>Normal</v>
      </c>
      <c r="L337" s="11" t="str">
        <f t="array" ref="L337">IF(J337="-","-",INDEX(Event_Rumor!$E$2:$E$9,MATCH(J337,Event_Rumor!$A$2:$A$9,0)))</f>
        <v>-</v>
      </c>
    </row>
    <row r="338" spans="1:12" ht="15" customHeight="1" x14ac:dyDescent="0.3">
      <c r="A338" s="26">
        <v>45824</v>
      </c>
      <c r="B338" s="6">
        <v>19321</v>
      </c>
      <c r="C338" s="6">
        <v>19321</v>
      </c>
      <c r="D338" s="6">
        <v>19031</v>
      </c>
      <c r="E338" s="6">
        <v>19031</v>
      </c>
      <c r="F338" s="6">
        <v>6300</v>
      </c>
      <c r="G338" s="7">
        <f t="shared" ref="G338:H338" si="335">(E338-E337)/E337</f>
        <v>-1.5009575073753946E-2</v>
      </c>
      <c r="H338" s="7">
        <f t="shared" si="335"/>
        <v>-4.5454545454545456E-2</v>
      </c>
      <c r="I338" s="8">
        <f>IF(COUNTIF(Event_Rumor!$B$2:$B$9,A338)&gt;0,1,0)</f>
        <v>0</v>
      </c>
      <c r="J338" s="8" t="str">
        <f t="array" ref="J3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8" s="8" t="str">
        <f t="array" ref="K338">IF(I338=1,"Event",IF(J338="-","Normal",IF(INDEX(Event_Rumor!$G$2:$G$9,MATCH(J338,Event_Rumor!$A$2:$A$9,0))&gt;ROW(),"Pre","Post")))</f>
        <v>Normal</v>
      </c>
      <c r="L338" s="11" t="str">
        <f t="array" ref="L338">IF(J338="-","-",INDEX(Event_Rumor!$E$2:$E$9,MATCH(J338,Event_Rumor!$A$2:$A$9,0)))</f>
        <v>-</v>
      </c>
    </row>
    <row r="339" spans="1:12" ht="15" customHeight="1" x14ac:dyDescent="0.3">
      <c r="A339" s="26">
        <v>45825</v>
      </c>
      <c r="B339" s="6">
        <v>19031</v>
      </c>
      <c r="C339" s="6">
        <v>19055</v>
      </c>
      <c r="D339" s="6">
        <v>18910</v>
      </c>
      <c r="E339" s="6">
        <v>18910</v>
      </c>
      <c r="F339" s="6">
        <v>12800</v>
      </c>
      <c r="G339" s="7">
        <f t="shared" ref="G339:H339" si="336">(E339-E338)/E338</f>
        <v>-6.3580473963533186E-3</v>
      </c>
      <c r="H339" s="7">
        <f t="shared" si="336"/>
        <v>1.0317460317460319</v>
      </c>
      <c r="I339" s="8">
        <f>IF(COUNTIF(Event_Rumor!$B$2:$B$9,A339)&gt;0,1,0)</f>
        <v>0</v>
      </c>
      <c r="J339" s="8" t="str">
        <f t="array" ref="J3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39" s="8" t="str">
        <f t="array" ref="K339">IF(I339=1,"Event",IF(J339="-","Normal",IF(INDEX(Event_Rumor!$G$2:$G$9,MATCH(J339,Event_Rumor!$A$2:$A$9,0))&gt;ROW(),"Pre","Post")))</f>
        <v>Normal</v>
      </c>
      <c r="L339" s="11" t="str">
        <f t="array" ref="L339">IF(J339="-","-",INDEX(Event_Rumor!$E$2:$E$9,MATCH(J339,Event_Rumor!$A$2:$A$9,0)))</f>
        <v>-</v>
      </c>
    </row>
    <row r="340" spans="1:12" ht="15" customHeight="1" x14ac:dyDescent="0.3">
      <c r="A340" s="26">
        <v>45826</v>
      </c>
      <c r="B340" s="6">
        <v>18910</v>
      </c>
      <c r="C340" s="6">
        <v>19055</v>
      </c>
      <c r="D340" s="6">
        <v>18862</v>
      </c>
      <c r="E340" s="6">
        <v>18886</v>
      </c>
      <c r="F340" s="6">
        <v>13200</v>
      </c>
      <c r="G340" s="7">
        <f t="shared" ref="G340:H340" si="337">(E340-E339)/E339</f>
        <v>-1.269169751454257E-3</v>
      </c>
      <c r="H340" s="7">
        <f t="shared" si="337"/>
        <v>3.125E-2</v>
      </c>
      <c r="I340" s="8">
        <f>IF(COUNTIF(Event_Rumor!$B$2:$B$9,A340)&gt;0,1,0)</f>
        <v>0</v>
      </c>
      <c r="J340" s="8" t="str">
        <f t="array" ref="J3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0" s="8" t="str">
        <f t="array" ref="K340">IF(I340=1,"Event",IF(J340="-","Normal",IF(INDEX(Event_Rumor!$G$2:$G$9,MATCH(J340,Event_Rumor!$A$2:$A$9,0))&gt;ROW(),"Pre","Post")))</f>
        <v>Normal</v>
      </c>
      <c r="L340" s="11" t="str">
        <f t="array" ref="L340">IF(J340="-","-",INDEX(Event_Rumor!$E$2:$E$9,MATCH(J340,Event_Rumor!$A$2:$A$9,0)))</f>
        <v>-</v>
      </c>
    </row>
    <row r="341" spans="1:12" ht="15" customHeight="1" x14ac:dyDescent="0.3">
      <c r="A341" s="26">
        <v>45827</v>
      </c>
      <c r="B341" s="6">
        <v>18838</v>
      </c>
      <c r="C341" s="6">
        <v>19031</v>
      </c>
      <c r="D341" s="6">
        <v>18838</v>
      </c>
      <c r="E341" s="6">
        <v>19031</v>
      </c>
      <c r="F341" s="6">
        <v>8800</v>
      </c>
      <c r="G341" s="7">
        <f t="shared" ref="G341:H341" si="338">(E341-E340)/E340</f>
        <v>7.6776448162660174E-3</v>
      </c>
      <c r="H341" s="7">
        <f t="shared" si="338"/>
        <v>-0.33333333333333331</v>
      </c>
      <c r="I341" s="8">
        <f>IF(COUNTIF(Event_Rumor!$B$2:$B$9,A341)&gt;0,1,0)</f>
        <v>0</v>
      </c>
      <c r="J341" s="8" t="str">
        <f t="array" ref="J3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1" s="8" t="str">
        <f t="array" ref="K341">IF(I341=1,"Event",IF(J341="-","Normal",IF(INDEX(Event_Rumor!$G$2:$G$9,MATCH(J341,Event_Rumor!$A$2:$A$9,0))&gt;ROW(),"Pre","Post")))</f>
        <v>Normal</v>
      </c>
      <c r="L341" s="11" t="str">
        <f t="array" ref="L341">IF(J341="-","-",INDEX(Event_Rumor!$E$2:$E$9,MATCH(J341,Event_Rumor!$A$2:$A$9,0)))</f>
        <v>-</v>
      </c>
    </row>
    <row r="342" spans="1:12" ht="15" customHeight="1" x14ac:dyDescent="0.3">
      <c r="A342" s="26">
        <v>45828</v>
      </c>
      <c r="B342" s="6">
        <v>19031</v>
      </c>
      <c r="C342" s="6">
        <v>19104</v>
      </c>
      <c r="D342" s="6">
        <v>19031</v>
      </c>
      <c r="E342" s="6">
        <v>19104</v>
      </c>
      <c r="F342" s="6">
        <v>15800</v>
      </c>
      <c r="G342" s="7">
        <f t="shared" ref="G342:H342" si="339">(E342-E341)/E341</f>
        <v>3.8358467763123325E-3</v>
      </c>
      <c r="H342" s="7">
        <f t="shared" si="339"/>
        <v>0.79545454545454541</v>
      </c>
      <c r="I342" s="8">
        <f>IF(COUNTIF(Event_Rumor!$B$2:$B$9,A342)&gt;0,1,0)</f>
        <v>0</v>
      </c>
      <c r="J342" s="8" t="str">
        <f t="array" ref="J3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2" s="8" t="str">
        <f t="array" ref="K342">IF(I342=1,"Event",IF(J342="-","Normal",IF(INDEX(Event_Rumor!$G$2:$G$9,MATCH(J342,Event_Rumor!$A$2:$A$9,0))&gt;ROW(),"Pre","Post")))</f>
        <v>Normal</v>
      </c>
      <c r="L342" s="11" t="str">
        <f t="array" ref="L342">IF(J342="-","-",INDEX(Event_Rumor!$E$2:$E$9,MATCH(J342,Event_Rumor!$A$2:$A$9,0)))</f>
        <v>-</v>
      </c>
    </row>
    <row r="343" spans="1:12" ht="15" customHeight="1" x14ac:dyDescent="0.3">
      <c r="A343" s="26">
        <v>45831</v>
      </c>
      <c r="B343" s="6">
        <v>19104</v>
      </c>
      <c r="C343" s="6">
        <v>19128</v>
      </c>
      <c r="D343" s="6">
        <v>19031</v>
      </c>
      <c r="E343" s="6">
        <v>19104</v>
      </c>
      <c r="F343" s="6">
        <v>32100</v>
      </c>
      <c r="G343" s="7">
        <f t="shared" ref="G343:H343" si="340">(E343-E342)/E342</f>
        <v>0</v>
      </c>
      <c r="H343" s="7">
        <f t="shared" si="340"/>
        <v>1.0316455696202531</v>
      </c>
      <c r="I343" s="8">
        <f>IF(COUNTIF(Event_Rumor!$B$2:$B$9,A343)&gt;0,1,0)</f>
        <v>0</v>
      </c>
      <c r="J343" s="8" t="str">
        <f t="array" ref="J3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3" s="8" t="str">
        <f t="array" ref="K343">IF(I343=1,"Event",IF(J343="-","Normal",IF(INDEX(Event_Rumor!$G$2:$G$9,MATCH(J343,Event_Rumor!$A$2:$A$9,0))&gt;ROW(),"Pre","Post")))</f>
        <v>Normal</v>
      </c>
      <c r="L343" s="11" t="str">
        <f t="array" ref="L343">IF(J343="-","-",INDEX(Event_Rumor!$E$2:$E$9,MATCH(J343,Event_Rumor!$A$2:$A$9,0)))</f>
        <v>-</v>
      </c>
    </row>
    <row r="344" spans="1:12" ht="15" customHeight="1" x14ac:dyDescent="0.3">
      <c r="A344" s="26">
        <v>45832</v>
      </c>
      <c r="B344" s="6">
        <v>19128</v>
      </c>
      <c r="C344" s="6">
        <v>19128</v>
      </c>
      <c r="D344" s="6">
        <v>19079</v>
      </c>
      <c r="E344" s="6">
        <v>19128</v>
      </c>
      <c r="F344" s="6">
        <v>6800</v>
      </c>
      <c r="G344" s="7">
        <f t="shared" ref="G344:H344" si="341">(E344-E343)/E343</f>
        <v>1.2562814070351759E-3</v>
      </c>
      <c r="H344" s="7">
        <f t="shared" si="341"/>
        <v>-0.78816199376947038</v>
      </c>
      <c r="I344" s="8">
        <f>IF(COUNTIF(Event_Rumor!$B$2:$B$9,A344)&gt;0,1,0)</f>
        <v>0</v>
      </c>
      <c r="J344" s="8" t="str">
        <f t="array" ref="J3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4" s="8" t="str">
        <f t="array" ref="K344">IF(I344=1,"Event",IF(J344="-","Normal",IF(INDEX(Event_Rumor!$G$2:$G$9,MATCH(J344,Event_Rumor!$A$2:$A$9,0))&gt;ROW(),"Pre","Post")))</f>
        <v>Normal</v>
      </c>
      <c r="L344" s="11" t="str">
        <f t="array" ref="L344">IF(J344="-","-",INDEX(Event_Rumor!$E$2:$E$9,MATCH(J344,Event_Rumor!$A$2:$A$9,0)))</f>
        <v>-</v>
      </c>
    </row>
    <row r="345" spans="1:12" ht="15" customHeight="1" x14ac:dyDescent="0.3">
      <c r="A345" s="26">
        <v>45833</v>
      </c>
      <c r="B345" s="6">
        <v>19128</v>
      </c>
      <c r="C345" s="6">
        <v>19224</v>
      </c>
      <c r="D345" s="6">
        <v>18886</v>
      </c>
      <c r="E345" s="6">
        <v>18886</v>
      </c>
      <c r="F345" s="6">
        <v>23800</v>
      </c>
      <c r="G345" s="7">
        <f t="shared" ref="G345:H345" si="342">(E345-E344)/E344</f>
        <v>-1.2651610204935174E-2</v>
      </c>
      <c r="H345" s="7">
        <f t="shared" si="342"/>
        <v>2.5</v>
      </c>
      <c r="I345" s="8">
        <f>IF(COUNTIF(Event_Rumor!$B$2:$B$9,A345)&gt;0,1,0)</f>
        <v>0</v>
      </c>
      <c r="J345" s="8" t="str">
        <f t="array" ref="J3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5" s="8" t="str">
        <f t="array" ref="K345">IF(I345=1,"Event",IF(J345="-","Normal",IF(INDEX(Event_Rumor!$G$2:$G$9,MATCH(J345,Event_Rumor!$A$2:$A$9,0))&gt;ROW(),"Pre","Post")))</f>
        <v>Normal</v>
      </c>
      <c r="L345" s="11" t="str">
        <f t="array" ref="L345">IF(J345="-","-",INDEX(Event_Rumor!$E$2:$E$9,MATCH(J345,Event_Rumor!$A$2:$A$9,0)))</f>
        <v>-</v>
      </c>
    </row>
    <row r="346" spans="1:12" ht="15" customHeight="1" x14ac:dyDescent="0.3">
      <c r="A346" s="26">
        <v>45834</v>
      </c>
      <c r="B346" s="6">
        <v>18959</v>
      </c>
      <c r="C346" s="6">
        <v>18959</v>
      </c>
      <c r="D346" s="6">
        <v>18355</v>
      </c>
      <c r="E346" s="6">
        <v>18886</v>
      </c>
      <c r="F346" s="6">
        <v>12900</v>
      </c>
      <c r="G346" s="7">
        <f t="shared" ref="G346:H346" si="343">(E346-E345)/E345</f>
        <v>0</v>
      </c>
      <c r="H346" s="7">
        <f t="shared" si="343"/>
        <v>-0.45798319327731091</v>
      </c>
      <c r="I346" s="8">
        <f>IF(COUNTIF(Event_Rumor!$B$2:$B$9,A346)&gt;0,1,0)</f>
        <v>0</v>
      </c>
      <c r="J346" s="8" t="str">
        <f t="array" ref="J3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6" s="8" t="str">
        <f t="array" ref="K346">IF(I346=1,"Event",IF(J346="-","Normal",IF(INDEX(Event_Rumor!$G$2:$G$9,MATCH(J346,Event_Rumor!$A$2:$A$9,0))&gt;ROW(),"Pre","Post")))</f>
        <v>Normal</v>
      </c>
      <c r="L346" s="11" t="str">
        <f t="array" ref="L346">IF(J346="-","-",INDEX(Event_Rumor!$E$2:$E$9,MATCH(J346,Event_Rumor!$A$2:$A$9,0)))</f>
        <v>-</v>
      </c>
    </row>
    <row r="347" spans="1:12" ht="15" customHeight="1" x14ac:dyDescent="0.3">
      <c r="A347" s="26">
        <v>45838</v>
      </c>
      <c r="B347" s="6">
        <v>18596</v>
      </c>
      <c r="C347" s="6">
        <v>19128</v>
      </c>
      <c r="D347" s="6">
        <v>18596</v>
      </c>
      <c r="E347" s="6">
        <v>19128</v>
      </c>
      <c r="F347" s="6">
        <v>4900</v>
      </c>
      <c r="G347" s="7">
        <f t="shared" ref="G347:H347" si="344">(E347-E346)/E346</f>
        <v>1.2813724451975008E-2</v>
      </c>
      <c r="H347" s="7">
        <f t="shared" si="344"/>
        <v>-0.62015503875968991</v>
      </c>
      <c r="I347" s="8">
        <f>IF(COUNTIF(Event_Rumor!$B$2:$B$9,A347)&gt;0,1,0)</f>
        <v>0</v>
      </c>
      <c r="J347" s="8" t="str">
        <f t="array" ref="J3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7" s="8" t="str">
        <f t="array" ref="K347">IF(I347=1,"Event",IF(J347="-","Normal",IF(INDEX(Event_Rumor!$G$2:$G$9,MATCH(J347,Event_Rumor!$A$2:$A$9,0))&gt;ROW(),"Pre","Post")))</f>
        <v>Normal</v>
      </c>
      <c r="L347" s="11" t="str">
        <f t="array" ref="L347">IF(J347="-","-",INDEX(Event_Rumor!$E$2:$E$9,MATCH(J347,Event_Rumor!$A$2:$A$9,0)))</f>
        <v>-</v>
      </c>
    </row>
    <row r="348" spans="1:12" ht="15" customHeight="1" x14ac:dyDescent="0.3">
      <c r="A348" s="26">
        <v>45839</v>
      </c>
      <c r="B348" s="6">
        <v>18886</v>
      </c>
      <c r="C348" s="6">
        <v>19224</v>
      </c>
      <c r="D348" s="6">
        <v>18886</v>
      </c>
      <c r="E348" s="6">
        <v>19224</v>
      </c>
      <c r="F348" s="6">
        <v>8700</v>
      </c>
      <c r="G348" s="7">
        <f t="shared" ref="G348:H348" si="345">(E348-E347)/E347</f>
        <v>5.018820577164366E-3</v>
      </c>
      <c r="H348" s="7">
        <f t="shared" si="345"/>
        <v>0.77551020408163263</v>
      </c>
      <c r="I348" s="8">
        <f>IF(COUNTIF(Event_Rumor!$B$2:$B$9,A348)&gt;0,1,0)</f>
        <v>0</v>
      </c>
      <c r="J348" s="8" t="str">
        <f t="array" ref="J3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8" s="8" t="str">
        <f t="array" ref="K348">IF(I348=1,"Event",IF(J348="-","Normal",IF(INDEX(Event_Rumor!$G$2:$G$9,MATCH(J348,Event_Rumor!$A$2:$A$9,0))&gt;ROW(),"Pre","Post")))</f>
        <v>Normal</v>
      </c>
      <c r="L348" s="11" t="str">
        <f t="array" ref="L348">IF(J348="-","-",INDEX(Event_Rumor!$E$2:$E$9,MATCH(J348,Event_Rumor!$A$2:$A$9,0)))</f>
        <v>-</v>
      </c>
    </row>
    <row r="349" spans="1:12" ht="15" customHeight="1" x14ac:dyDescent="0.3">
      <c r="A349" s="26">
        <v>45840</v>
      </c>
      <c r="B349" s="6">
        <v>19079</v>
      </c>
      <c r="C349" s="6">
        <v>19200</v>
      </c>
      <c r="D349" s="6">
        <v>18741</v>
      </c>
      <c r="E349" s="6">
        <v>19055</v>
      </c>
      <c r="F349" s="6">
        <v>32400</v>
      </c>
      <c r="G349" s="7">
        <f t="shared" ref="G349:H349" si="346">(E349-E348)/E348</f>
        <v>-8.7910944652517687E-3</v>
      </c>
      <c r="H349" s="7">
        <f t="shared" si="346"/>
        <v>2.7241379310344827</v>
      </c>
      <c r="I349" s="8">
        <f>IF(COUNTIF(Event_Rumor!$B$2:$B$9,A349)&gt;0,1,0)</f>
        <v>0</v>
      </c>
      <c r="J349" s="8" t="str">
        <f t="array" ref="J3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49" s="8" t="str">
        <f t="array" ref="K349">IF(I349=1,"Event",IF(J349="-","Normal",IF(INDEX(Event_Rumor!$G$2:$G$9,MATCH(J349,Event_Rumor!$A$2:$A$9,0))&gt;ROW(),"Pre","Post")))</f>
        <v>Normal</v>
      </c>
      <c r="L349" s="11" t="str">
        <f t="array" ref="L349">IF(J349="-","-",INDEX(Event_Rumor!$E$2:$E$9,MATCH(J349,Event_Rumor!$A$2:$A$9,0)))</f>
        <v>-</v>
      </c>
    </row>
    <row r="350" spans="1:12" ht="15" customHeight="1" x14ac:dyDescent="0.3">
      <c r="A350" s="26">
        <v>45841</v>
      </c>
      <c r="B350" s="6">
        <v>19055</v>
      </c>
      <c r="C350" s="6">
        <v>19176</v>
      </c>
      <c r="D350" s="6">
        <v>18790</v>
      </c>
      <c r="E350" s="6">
        <v>19128</v>
      </c>
      <c r="F350" s="6">
        <v>10900</v>
      </c>
      <c r="G350" s="7">
        <f t="shared" ref="G350:H350" si="347">(E350-E349)/E349</f>
        <v>3.8310154815009182E-3</v>
      </c>
      <c r="H350" s="7">
        <f t="shared" si="347"/>
        <v>-0.6635802469135802</v>
      </c>
      <c r="I350" s="8">
        <f>IF(COUNTIF(Event_Rumor!$B$2:$B$9,A350)&gt;0,1,0)</f>
        <v>0</v>
      </c>
      <c r="J350" s="8" t="str">
        <f t="array" ref="J3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0" s="8" t="str">
        <f t="array" ref="K350">IF(I350=1,"Event",IF(J350="-","Normal",IF(INDEX(Event_Rumor!$G$2:$G$9,MATCH(J350,Event_Rumor!$A$2:$A$9,0))&gt;ROW(),"Pre","Post")))</f>
        <v>Normal</v>
      </c>
      <c r="L350" s="11" t="str">
        <f t="array" ref="L350">IF(J350="-","-",INDEX(Event_Rumor!$E$2:$E$9,MATCH(J350,Event_Rumor!$A$2:$A$9,0)))</f>
        <v>-</v>
      </c>
    </row>
    <row r="351" spans="1:12" ht="15" customHeight="1" x14ac:dyDescent="0.3">
      <c r="A351" s="26">
        <v>45842</v>
      </c>
      <c r="B351" s="6">
        <v>19104</v>
      </c>
      <c r="C351" s="6">
        <v>19128</v>
      </c>
      <c r="D351" s="6">
        <v>19079</v>
      </c>
      <c r="E351" s="6">
        <v>19079</v>
      </c>
      <c r="F351" s="6">
        <v>20500</v>
      </c>
      <c r="G351" s="7">
        <f t="shared" ref="G351:H351" si="348">(E351-E350)/E350</f>
        <v>-2.5616896695943121E-3</v>
      </c>
      <c r="H351" s="7">
        <f t="shared" si="348"/>
        <v>0.88073394495412849</v>
      </c>
      <c r="I351" s="8">
        <f>IF(COUNTIF(Event_Rumor!$B$2:$B$9,A351)&gt;0,1,0)</f>
        <v>0</v>
      </c>
      <c r="J351" s="8" t="str">
        <f t="array" ref="J3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1" s="8" t="str">
        <f t="array" ref="K351">IF(I351=1,"Event",IF(J351="-","Normal",IF(INDEX(Event_Rumor!$G$2:$G$9,MATCH(J351,Event_Rumor!$A$2:$A$9,0))&gt;ROW(),"Pre","Post")))</f>
        <v>Normal</v>
      </c>
      <c r="L351" s="11" t="str">
        <f t="array" ref="L351">IF(J351="-","-",INDEX(Event_Rumor!$E$2:$E$9,MATCH(J351,Event_Rumor!$A$2:$A$9,0)))</f>
        <v>-</v>
      </c>
    </row>
    <row r="352" spans="1:12" ht="15" customHeight="1" x14ac:dyDescent="0.3">
      <c r="A352" s="26">
        <v>45845</v>
      </c>
      <c r="B352" s="6">
        <v>19172</v>
      </c>
      <c r="C352" s="6">
        <v>19318</v>
      </c>
      <c r="D352" s="6">
        <v>19026</v>
      </c>
      <c r="E352" s="6">
        <v>19318</v>
      </c>
      <c r="F352" s="6">
        <v>8300</v>
      </c>
      <c r="G352" s="7">
        <f t="shared" ref="G352:H352" si="349">(E352-E351)/E351</f>
        <v>1.2526861994863463E-2</v>
      </c>
      <c r="H352" s="7">
        <f t="shared" si="349"/>
        <v>-0.59512195121951217</v>
      </c>
      <c r="I352" s="8">
        <f>IF(COUNTIF(Event_Rumor!$B$2:$B$9,A352)&gt;0,1,0)</f>
        <v>0</v>
      </c>
      <c r="J352" s="8" t="str">
        <f t="array" ref="J35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2" s="8" t="str">
        <f t="array" ref="K352">IF(I352=1,"Event",IF(J352="-","Normal",IF(INDEX(Event_Rumor!$G$2:$G$9,MATCH(J352,Event_Rumor!$A$2:$A$9,0))&gt;ROW(),"Pre","Post")))</f>
        <v>Normal</v>
      </c>
      <c r="L352" s="11" t="str">
        <f t="array" ref="L352">IF(J352="-","-",INDEX(Event_Rumor!$E$2:$E$9,MATCH(J352,Event_Rumor!$A$2:$A$9,0)))</f>
        <v>-</v>
      </c>
    </row>
    <row r="353" spans="1:12" ht="15" customHeight="1" x14ac:dyDescent="0.3">
      <c r="A353" s="26">
        <v>45846</v>
      </c>
      <c r="B353" s="6">
        <v>19318</v>
      </c>
      <c r="C353" s="6">
        <v>19489</v>
      </c>
      <c r="D353" s="6">
        <v>19123</v>
      </c>
      <c r="E353" s="6">
        <v>19489</v>
      </c>
      <c r="F353" s="6">
        <v>12000</v>
      </c>
      <c r="G353" s="7">
        <f t="shared" ref="G353:H353" si="350">(E353-E352)/E352</f>
        <v>8.851848017393105E-3</v>
      </c>
      <c r="H353" s="7">
        <f t="shared" si="350"/>
        <v>0.44578313253012047</v>
      </c>
      <c r="I353" s="8">
        <f>IF(COUNTIF(Event_Rumor!$B$2:$B$9,A353)&gt;0,1,0)</f>
        <v>0</v>
      </c>
      <c r="J353" s="8" t="str">
        <f t="array" ref="J35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3" s="8" t="str">
        <f t="array" ref="K353">IF(I353=1,"Event",IF(J353="-","Normal",IF(INDEX(Event_Rumor!$G$2:$G$9,MATCH(J353,Event_Rumor!$A$2:$A$9,0))&gt;ROW(),"Pre","Post")))</f>
        <v>Normal</v>
      </c>
      <c r="L353" s="11" t="str">
        <f t="array" ref="L353">IF(J353="-","-",INDEX(Event_Rumor!$E$2:$E$9,MATCH(J353,Event_Rumor!$A$2:$A$9,0)))</f>
        <v>-</v>
      </c>
    </row>
    <row r="354" spans="1:12" ht="15" customHeight="1" x14ac:dyDescent="0.3">
      <c r="A354" s="26">
        <v>45847</v>
      </c>
      <c r="B354" s="6">
        <v>19416</v>
      </c>
      <c r="C354" s="6">
        <v>19416</v>
      </c>
      <c r="D354" s="6">
        <v>19172</v>
      </c>
      <c r="E354" s="6">
        <v>19196</v>
      </c>
      <c r="F354" s="6">
        <v>9500</v>
      </c>
      <c r="G354" s="7">
        <f t="shared" ref="G354:H354" si="351">(E354-E353)/E353</f>
        <v>-1.5034121812304378E-2</v>
      </c>
      <c r="H354" s="7">
        <f t="shared" si="351"/>
        <v>-0.20833333333333334</v>
      </c>
      <c r="I354" s="8">
        <f>IF(COUNTIF(Event_Rumor!$B$2:$B$9,A354)&gt;0,1,0)</f>
        <v>0</v>
      </c>
      <c r="J354" s="8" t="str">
        <f t="array" ref="J35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4" s="8" t="str">
        <f t="array" ref="K354">IF(I354=1,"Event",IF(J354="-","Normal",IF(INDEX(Event_Rumor!$G$2:$G$9,MATCH(J354,Event_Rumor!$A$2:$A$9,0))&gt;ROW(),"Pre","Post")))</f>
        <v>Normal</v>
      </c>
      <c r="L354" s="11" t="str">
        <f t="array" ref="L354">IF(J354="-","-",INDEX(Event_Rumor!$E$2:$E$9,MATCH(J354,Event_Rumor!$A$2:$A$9,0)))</f>
        <v>-</v>
      </c>
    </row>
    <row r="355" spans="1:12" ht="15" customHeight="1" x14ac:dyDescent="0.3">
      <c r="A355" s="26">
        <v>45848</v>
      </c>
      <c r="B355" s="6">
        <v>19196</v>
      </c>
      <c r="C355" s="6">
        <v>19196</v>
      </c>
      <c r="D355" s="6">
        <v>18733</v>
      </c>
      <c r="E355" s="6">
        <v>18904</v>
      </c>
      <c r="F355" s="6">
        <v>35700</v>
      </c>
      <c r="G355" s="7">
        <f t="shared" ref="G355:H355" si="352">(E355-E354)/E354</f>
        <v>-1.5211502396332569E-2</v>
      </c>
      <c r="H355" s="7">
        <f t="shared" si="352"/>
        <v>2.7578947368421054</v>
      </c>
      <c r="I355" s="8">
        <f>IF(COUNTIF(Event_Rumor!$B$2:$B$9,A355)&gt;0,1,0)</f>
        <v>0</v>
      </c>
      <c r="J355" s="8" t="str">
        <f t="array" ref="J35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5" s="8" t="str">
        <f t="array" ref="K355">IF(I355=1,"Event",IF(J355="-","Normal",IF(INDEX(Event_Rumor!$G$2:$G$9,MATCH(J355,Event_Rumor!$A$2:$A$9,0))&gt;ROW(),"Pre","Post")))</f>
        <v>Normal</v>
      </c>
      <c r="L355" s="11" t="str">
        <f t="array" ref="L355">IF(J355="-","-",INDEX(Event_Rumor!$E$2:$E$9,MATCH(J355,Event_Rumor!$A$2:$A$9,0)))</f>
        <v>-</v>
      </c>
    </row>
    <row r="356" spans="1:12" ht="15" customHeight="1" x14ac:dyDescent="0.3">
      <c r="A356" s="26">
        <v>45849</v>
      </c>
      <c r="B356" s="6">
        <v>18904</v>
      </c>
      <c r="C356" s="6">
        <v>19148</v>
      </c>
      <c r="D356" s="6">
        <v>18904</v>
      </c>
      <c r="E356" s="6">
        <v>19099</v>
      </c>
      <c r="F356" s="6">
        <v>8100</v>
      </c>
      <c r="G356" s="7">
        <f t="shared" ref="G356:H356" si="353">(E356-E355)/E355</f>
        <v>1.0315277190012696E-2</v>
      </c>
      <c r="H356" s="7">
        <f t="shared" si="353"/>
        <v>-0.77310924369747902</v>
      </c>
      <c r="I356" s="8">
        <f>IF(COUNTIF(Event_Rumor!$B$2:$B$9,A356)&gt;0,1,0)</f>
        <v>0</v>
      </c>
      <c r="J356" s="8" t="str">
        <f t="array" ref="J35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6" s="8" t="str">
        <f t="array" ref="K356">IF(I356=1,"Event",IF(J356="-","Normal",IF(INDEX(Event_Rumor!$G$2:$G$9,MATCH(J356,Event_Rumor!$A$2:$A$9,0))&gt;ROW(),"Pre","Post")))</f>
        <v>Normal</v>
      </c>
      <c r="L356" s="11" t="str">
        <f t="array" ref="L356">IF(J356="-","-",INDEX(Event_Rumor!$E$2:$E$9,MATCH(J356,Event_Rumor!$A$2:$A$9,0)))</f>
        <v>-</v>
      </c>
    </row>
    <row r="357" spans="1:12" ht="15" customHeight="1" x14ac:dyDescent="0.3">
      <c r="A357" s="26">
        <v>45852</v>
      </c>
      <c r="B357" s="6">
        <v>19099</v>
      </c>
      <c r="C357" s="6">
        <v>19099</v>
      </c>
      <c r="D357" s="6">
        <v>18782</v>
      </c>
      <c r="E357" s="6">
        <v>18928</v>
      </c>
      <c r="F357" s="6">
        <v>15200</v>
      </c>
      <c r="G357" s="7">
        <f t="shared" ref="G357:H357" si="354">(E357-E356)/E356</f>
        <v>-8.9533483428451757E-3</v>
      </c>
      <c r="H357" s="7">
        <f t="shared" si="354"/>
        <v>0.87654320987654322</v>
      </c>
      <c r="I357" s="8">
        <f>IF(COUNTIF(Event_Rumor!$B$2:$B$9,A357)&gt;0,1,0)</f>
        <v>0</v>
      </c>
      <c r="J357" s="8" t="str">
        <f t="array" ref="J35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7" s="8" t="str">
        <f t="array" ref="K357">IF(I357=1,"Event",IF(J357="-","Normal",IF(INDEX(Event_Rumor!$G$2:$G$9,MATCH(J357,Event_Rumor!$A$2:$A$9,0))&gt;ROW(),"Pre","Post")))</f>
        <v>Normal</v>
      </c>
      <c r="L357" s="11" t="str">
        <f t="array" ref="L357">IF(J357="-","-",INDEX(Event_Rumor!$E$2:$E$9,MATCH(J357,Event_Rumor!$A$2:$A$9,0)))</f>
        <v>-</v>
      </c>
    </row>
    <row r="358" spans="1:12" ht="15" customHeight="1" x14ac:dyDescent="0.3">
      <c r="A358" s="26">
        <v>45853</v>
      </c>
      <c r="B358" s="6">
        <v>18928</v>
      </c>
      <c r="C358" s="6">
        <v>19148</v>
      </c>
      <c r="D358" s="6">
        <v>18733</v>
      </c>
      <c r="E358" s="6">
        <v>19123</v>
      </c>
      <c r="F358" s="6">
        <v>34500</v>
      </c>
      <c r="G358" s="7">
        <f t="shared" ref="G358:H358" si="355">(E358-E357)/E357</f>
        <v>1.0302197802197802E-2</v>
      </c>
      <c r="H358" s="7">
        <f t="shared" si="355"/>
        <v>1.2697368421052631</v>
      </c>
      <c r="I358" s="8">
        <f>IF(COUNTIF(Event_Rumor!$B$2:$B$9,A358)&gt;0,1,0)</f>
        <v>0</v>
      </c>
      <c r="J358" s="8" t="str">
        <f t="array" ref="J35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8" s="8" t="str">
        <f t="array" ref="K358">IF(I358=1,"Event",IF(J358="-","Normal",IF(INDEX(Event_Rumor!$G$2:$G$9,MATCH(J358,Event_Rumor!$A$2:$A$9,0))&gt;ROW(),"Pre","Post")))</f>
        <v>Normal</v>
      </c>
      <c r="L358" s="11" t="str">
        <f t="array" ref="L358">IF(J358="-","-",INDEX(Event_Rumor!$E$2:$E$9,MATCH(J358,Event_Rumor!$A$2:$A$9,0)))</f>
        <v>-</v>
      </c>
    </row>
    <row r="359" spans="1:12" ht="15" customHeight="1" x14ac:dyDescent="0.3">
      <c r="A359" s="26">
        <v>45854</v>
      </c>
      <c r="B359" s="6">
        <v>19123</v>
      </c>
      <c r="C359" s="6">
        <v>19172</v>
      </c>
      <c r="D359" s="6">
        <v>18635</v>
      </c>
      <c r="E359" s="6">
        <v>18928</v>
      </c>
      <c r="F359" s="6">
        <v>35600</v>
      </c>
      <c r="G359" s="7">
        <f t="shared" ref="G359:H359" si="356">(E359-E358)/E358</f>
        <v>-1.0197144799456152E-2</v>
      </c>
      <c r="H359" s="7">
        <f t="shared" si="356"/>
        <v>3.1884057971014491E-2</v>
      </c>
      <c r="I359" s="8">
        <f>IF(COUNTIF(Event_Rumor!$B$2:$B$9,A359)&gt;0,1,0)</f>
        <v>0</v>
      </c>
      <c r="J359" s="8" t="str">
        <f t="array" ref="J35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59" s="8" t="str">
        <f t="array" ref="K359">IF(I359=1,"Event",IF(J359="-","Normal",IF(INDEX(Event_Rumor!$G$2:$G$9,MATCH(J359,Event_Rumor!$A$2:$A$9,0))&gt;ROW(),"Pre","Post")))</f>
        <v>Normal</v>
      </c>
      <c r="L359" s="11" t="str">
        <f t="array" ref="L359">IF(J359="-","-",INDEX(Event_Rumor!$E$2:$E$9,MATCH(J359,Event_Rumor!$A$2:$A$9,0)))</f>
        <v>-</v>
      </c>
    </row>
    <row r="360" spans="1:12" ht="15" customHeight="1" x14ac:dyDescent="0.3">
      <c r="A360" s="26">
        <v>45855</v>
      </c>
      <c r="B360" s="6">
        <v>18904</v>
      </c>
      <c r="C360" s="6">
        <v>18904</v>
      </c>
      <c r="D360" s="6">
        <v>18635</v>
      </c>
      <c r="E360" s="6">
        <v>18733</v>
      </c>
      <c r="F360" s="6">
        <v>38600</v>
      </c>
      <c r="G360" s="7">
        <f t="shared" ref="G360:H360" si="357">(E360-E359)/E359</f>
        <v>-1.0302197802197802E-2</v>
      </c>
      <c r="H360" s="7">
        <f t="shared" si="357"/>
        <v>8.4269662921348312E-2</v>
      </c>
      <c r="I360" s="8">
        <f>IF(COUNTIF(Event_Rumor!$B$2:$B$9,A360)&gt;0,1,0)</f>
        <v>0</v>
      </c>
      <c r="J360" s="8" t="str">
        <f t="array" ref="J36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0" s="8" t="str">
        <f t="array" ref="K360">IF(I360=1,"Event",IF(J360="-","Normal",IF(INDEX(Event_Rumor!$G$2:$G$9,MATCH(J360,Event_Rumor!$A$2:$A$9,0))&gt;ROW(),"Pre","Post")))</f>
        <v>Normal</v>
      </c>
      <c r="L360" s="11" t="str">
        <f t="array" ref="L360">IF(J360="-","-",INDEX(Event_Rumor!$E$2:$E$9,MATCH(J360,Event_Rumor!$A$2:$A$9,0)))</f>
        <v>-</v>
      </c>
    </row>
    <row r="361" spans="1:12" ht="15" customHeight="1" x14ac:dyDescent="0.3">
      <c r="A361" s="26">
        <v>45856</v>
      </c>
      <c r="B361" s="6">
        <v>18806</v>
      </c>
      <c r="C361" s="6">
        <v>18904</v>
      </c>
      <c r="D361" s="6">
        <v>18513</v>
      </c>
      <c r="E361" s="6">
        <v>18538</v>
      </c>
      <c r="F361" s="6">
        <v>66700</v>
      </c>
      <c r="G361" s="7">
        <f t="shared" ref="G361:H361" si="358">(E361-E360)/E360</f>
        <v>-1.0409437890353921E-2</v>
      </c>
      <c r="H361" s="7">
        <f t="shared" si="358"/>
        <v>0.727979274611399</v>
      </c>
      <c r="I361" s="8">
        <f>IF(COUNTIF(Event_Rumor!$B$2:$B$9,A361)&gt;0,1,0)</f>
        <v>0</v>
      </c>
      <c r="J361" s="8" t="str">
        <f t="array" ref="J36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1" s="8" t="str">
        <f t="array" ref="K361">IF(I361=1,"Event",IF(J361="-","Normal",IF(INDEX(Event_Rumor!$G$2:$G$9,MATCH(J361,Event_Rumor!$A$2:$A$9,0))&gt;ROW(),"Pre","Post")))</f>
        <v>Normal</v>
      </c>
      <c r="L361" s="11" t="str">
        <f t="array" ref="L361">IF(J361="-","-",INDEX(Event_Rumor!$E$2:$E$9,MATCH(J361,Event_Rumor!$A$2:$A$9,0)))</f>
        <v>-</v>
      </c>
    </row>
    <row r="362" spans="1:12" ht="15" customHeight="1" x14ac:dyDescent="0.3">
      <c r="A362" s="26">
        <v>45859</v>
      </c>
      <c r="B362" s="6">
        <v>18709</v>
      </c>
      <c r="C362" s="6">
        <v>18782</v>
      </c>
      <c r="D362" s="6">
        <v>18538</v>
      </c>
      <c r="E362" s="6">
        <v>18562</v>
      </c>
      <c r="F362" s="6">
        <v>17500</v>
      </c>
      <c r="G362" s="7">
        <f t="shared" ref="G362:H362" si="359">(E362-E361)/E361</f>
        <v>1.2946380407810982E-3</v>
      </c>
      <c r="H362" s="7">
        <f t="shared" si="359"/>
        <v>-0.73763118440779607</v>
      </c>
      <c r="I362" s="8">
        <f>IF(COUNTIF(Event_Rumor!$B$2:$B$9,A362)&gt;0,1,0)</f>
        <v>0</v>
      </c>
      <c r="J362" s="8" t="str">
        <f t="array" ref="J36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2" s="8" t="str">
        <f t="array" ref="K362">IF(I362=1,"Event",IF(J362="-","Normal",IF(INDEX(Event_Rumor!$G$2:$G$9,MATCH(J362,Event_Rumor!$A$2:$A$9,0))&gt;ROW(),"Pre","Post")))</f>
        <v>Normal</v>
      </c>
      <c r="L362" s="11" t="str">
        <f t="array" ref="L362">IF(J362="-","-",INDEX(Event_Rumor!$E$2:$E$9,MATCH(J362,Event_Rumor!$A$2:$A$9,0)))</f>
        <v>-</v>
      </c>
    </row>
    <row r="363" spans="1:12" ht="15" customHeight="1" x14ac:dyDescent="0.3">
      <c r="A363" s="26">
        <v>45860</v>
      </c>
      <c r="B363" s="6">
        <v>18587</v>
      </c>
      <c r="C363" s="6">
        <v>18928</v>
      </c>
      <c r="D363" s="6">
        <v>18587</v>
      </c>
      <c r="E363" s="6">
        <v>18757</v>
      </c>
      <c r="F363" s="6">
        <v>20200</v>
      </c>
      <c r="G363" s="7">
        <f t="shared" ref="G363:H363" si="360">(E363-E362)/E362</f>
        <v>1.0505333476996013E-2</v>
      </c>
      <c r="H363" s="7">
        <f t="shared" si="360"/>
        <v>0.15428571428571428</v>
      </c>
      <c r="I363" s="8">
        <f>IF(COUNTIF(Event_Rumor!$B$2:$B$9,A363)&gt;0,1,0)</f>
        <v>0</v>
      </c>
      <c r="J363" s="8" t="str">
        <f t="array" ref="J36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3" s="8" t="str">
        <f t="array" ref="K363">IF(I363=1,"Event",IF(J363="-","Normal",IF(INDEX(Event_Rumor!$G$2:$G$9,MATCH(J363,Event_Rumor!$A$2:$A$9,0))&gt;ROW(),"Pre","Post")))</f>
        <v>Normal</v>
      </c>
      <c r="L363" s="11" t="str">
        <f t="array" ref="L363">IF(J363="-","-",INDEX(Event_Rumor!$E$2:$E$9,MATCH(J363,Event_Rumor!$A$2:$A$9,0)))</f>
        <v>-</v>
      </c>
    </row>
    <row r="364" spans="1:12" ht="15" customHeight="1" x14ac:dyDescent="0.3">
      <c r="A364" s="26">
        <v>45861</v>
      </c>
      <c r="B364" s="6">
        <v>18904</v>
      </c>
      <c r="C364" s="6">
        <v>18904</v>
      </c>
      <c r="D364" s="6">
        <v>18733</v>
      </c>
      <c r="E364" s="6">
        <v>18733</v>
      </c>
      <c r="F364" s="6">
        <v>26500</v>
      </c>
      <c r="G364" s="7">
        <f t="shared" ref="G364:H364" si="361">(E364-E363)/E363</f>
        <v>-1.2795223116703097E-3</v>
      </c>
      <c r="H364" s="7">
        <f t="shared" si="361"/>
        <v>0.31188118811881188</v>
      </c>
      <c r="I364" s="8">
        <f>IF(COUNTIF(Event_Rumor!$B$2:$B$9,A364)&gt;0,1,0)</f>
        <v>0</v>
      </c>
      <c r="J364" s="8" t="str">
        <f t="array" ref="J36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4" s="8" t="str">
        <f t="array" ref="K364">IF(I364=1,"Event",IF(J364="-","Normal",IF(INDEX(Event_Rumor!$G$2:$G$9,MATCH(J364,Event_Rumor!$A$2:$A$9,0))&gt;ROW(),"Pre","Post")))</f>
        <v>Normal</v>
      </c>
      <c r="L364" s="11" t="str">
        <f t="array" ref="L364">IF(J364="-","-",INDEX(Event_Rumor!$E$2:$E$9,MATCH(J364,Event_Rumor!$A$2:$A$9,0)))</f>
        <v>-</v>
      </c>
    </row>
    <row r="365" spans="1:12" ht="15" customHeight="1" x14ac:dyDescent="0.3">
      <c r="A365" s="26">
        <v>45862</v>
      </c>
      <c r="B365" s="6">
        <v>18684</v>
      </c>
      <c r="C365" s="6">
        <v>18782</v>
      </c>
      <c r="D365" s="6">
        <v>18562</v>
      </c>
      <c r="E365" s="6">
        <v>18660</v>
      </c>
      <c r="F365" s="6">
        <v>45500</v>
      </c>
      <c r="G365" s="7">
        <f t="shared" ref="G365:H365" si="362">(E365-E364)/E364</f>
        <v>-3.8968664922863394E-3</v>
      </c>
      <c r="H365" s="7">
        <f t="shared" si="362"/>
        <v>0.71698113207547165</v>
      </c>
      <c r="I365" s="8">
        <f>IF(COUNTIF(Event_Rumor!$B$2:$B$9,A365)&gt;0,1,0)</f>
        <v>0</v>
      </c>
      <c r="J365" s="8" t="str">
        <f t="array" ref="J36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5" s="8" t="str">
        <f t="array" ref="K365">IF(I365=1,"Event",IF(J365="-","Normal",IF(INDEX(Event_Rumor!$G$2:$G$9,MATCH(J365,Event_Rumor!$A$2:$A$9,0))&gt;ROW(),"Pre","Post")))</f>
        <v>Normal</v>
      </c>
      <c r="L365" s="11" t="str">
        <f t="array" ref="L365">IF(J365="-","-",INDEX(Event_Rumor!$E$2:$E$9,MATCH(J365,Event_Rumor!$A$2:$A$9,0)))</f>
        <v>-</v>
      </c>
    </row>
    <row r="366" spans="1:12" ht="15" customHeight="1" x14ac:dyDescent="0.3">
      <c r="A366" s="26">
        <v>45863</v>
      </c>
      <c r="B366" s="6">
        <v>18733</v>
      </c>
      <c r="C366" s="6">
        <v>18733</v>
      </c>
      <c r="D366" s="6">
        <v>18416</v>
      </c>
      <c r="E366" s="6">
        <v>18635</v>
      </c>
      <c r="F366" s="6">
        <v>37000</v>
      </c>
      <c r="G366" s="7">
        <f t="shared" ref="G366:H366" si="363">(E366-E365)/E365</f>
        <v>-1.3397642015005359E-3</v>
      </c>
      <c r="H366" s="7">
        <f t="shared" si="363"/>
        <v>-0.18681318681318682</v>
      </c>
      <c r="I366" s="8">
        <f>IF(COUNTIF(Event_Rumor!$B$2:$B$9,A366)&gt;0,1,0)</f>
        <v>0</v>
      </c>
      <c r="J366" s="8" t="str">
        <f t="array" ref="J36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6" s="8" t="str">
        <f t="array" ref="K366">IF(I366=1,"Event",IF(J366="-","Normal",IF(INDEX(Event_Rumor!$G$2:$G$9,MATCH(J366,Event_Rumor!$A$2:$A$9,0))&gt;ROW(),"Pre","Post")))</f>
        <v>Normal</v>
      </c>
      <c r="L366" s="11" t="str">
        <f t="array" ref="L366">IF(J366="-","-",INDEX(Event_Rumor!$E$2:$E$9,MATCH(J366,Event_Rumor!$A$2:$A$9,0)))</f>
        <v>-</v>
      </c>
    </row>
    <row r="367" spans="1:12" ht="15" customHeight="1" x14ac:dyDescent="0.3">
      <c r="A367" s="26">
        <v>45866</v>
      </c>
      <c r="B367" s="6">
        <v>18635</v>
      </c>
      <c r="C367" s="6">
        <v>18635</v>
      </c>
      <c r="D367" s="6">
        <v>18513</v>
      </c>
      <c r="E367" s="6">
        <v>18562</v>
      </c>
      <c r="F367" s="6">
        <v>10100</v>
      </c>
      <c r="G367" s="7">
        <f t="shared" ref="G367:H367" si="364">(E367-E366)/E366</f>
        <v>-3.9173598068151325E-3</v>
      </c>
      <c r="H367" s="7">
        <f t="shared" si="364"/>
        <v>-0.72702702702702704</v>
      </c>
      <c r="I367" s="8">
        <f>IF(COUNTIF(Event_Rumor!$B$2:$B$9,A367)&gt;0,1,0)</f>
        <v>0</v>
      </c>
      <c r="J367" s="8" t="str">
        <f t="array" ref="J36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7" s="8" t="str">
        <f t="array" ref="K367">IF(I367=1,"Event",IF(J367="-","Normal",IF(INDEX(Event_Rumor!$G$2:$G$9,MATCH(J367,Event_Rumor!$A$2:$A$9,0))&gt;ROW(),"Pre","Post")))</f>
        <v>Normal</v>
      </c>
      <c r="L367" s="11" t="str">
        <f t="array" ref="L367">IF(J367="-","-",INDEX(Event_Rumor!$E$2:$E$9,MATCH(J367,Event_Rumor!$A$2:$A$9,0)))</f>
        <v>-</v>
      </c>
    </row>
    <row r="368" spans="1:12" ht="15" customHeight="1" x14ac:dyDescent="0.3">
      <c r="A368" s="26">
        <v>45867</v>
      </c>
      <c r="B368" s="6">
        <v>18562</v>
      </c>
      <c r="C368" s="6">
        <v>18562</v>
      </c>
      <c r="D368" s="6">
        <v>18245</v>
      </c>
      <c r="E368" s="6">
        <v>18440</v>
      </c>
      <c r="F368" s="6">
        <v>94400</v>
      </c>
      <c r="G368" s="7">
        <f t="shared" ref="G368:H368" si="365">(E368-E367)/E367</f>
        <v>-6.5725676112487882E-3</v>
      </c>
      <c r="H368" s="7">
        <f t="shared" si="365"/>
        <v>8.346534653465346</v>
      </c>
      <c r="I368" s="8">
        <f>IF(COUNTIF(Event_Rumor!$B$2:$B$9,A368)&gt;0,1,0)</f>
        <v>0</v>
      </c>
      <c r="J368" s="8" t="str">
        <f t="array" ref="J36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8" s="8" t="str">
        <f t="array" ref="K368">IF(I368=1,"Event",IF(J368="-","Normal",IF(INDEX(Event_Rumor!$G$2:$G$9,MATCH(J368,Event_Rumor!$A$2:$A$9,0))&gt;ROW(),"Pre","Post")))</f>
        <v>Normal</v>
      </c>
      <c r="L368" s="11" t="str">
        <f t="array" ref="L368">IF(J368="-","-",INDEX(Event_Rumor!$E$2:$E$9,MATCH(J368,Event_Rumor!$A$2:$A$9,0)))</f>
        <v>-</v>
      </c>
    </row>
    <row r="369" spans="1:12" ht="15" customHeight="1" x14ac:dyDescent="0.3">
      <c r="A369" s="26">
        <v>45868</v>
      </c>
      <c r="B369" s="6">
        <v>18343</v>
      </c>
      <c r="C369" s="6">
        <v>18440</v>
      </c>
      <c r="D369" s="6">
        <v>18196</v>
      </c>
      <c r="E369" s="6">
        <v>18270</v>
      </c>
      <c r="F369" s="6">
        <v>49800</v>
      </c>
      <c r="G369" s="7">
        <f t="shared" ref="G369:H369" si="366">(E369-E368)/E368</f>
        <v>-9.2190889370932748E-3</v>
      </c>
      <c r="H369" s="7">
        <f t="shared" si="366"/>
        <v>-0.47245762711864409</v>
      </c>
      <c r="I369" s="8">
        <f>IF(COUNTIF(Event_Rumor!$B$2:$B$9,A369)&gt;0,1,0)</f>
        <v>0</v>
      </c>
      <c r="J369" s="8" t="str">
        <f t="array" ref="J36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69" s="8" t="str">
        <f t="array" ref="K369">IF(I369=1,"Event",IF(J369="-","Normal",IF(INDEX(Event_Rumor!$G$2:$G$9,MATCH(J369,Event_Rumor!$A$2:$A$9,0))&gt;ROW(),"Pre","Post")))</f>
        <v>Normal</v>
      </c>
      <c r="L369" s="11" t="str">
        <f t="array" ref="L369">IF(J369="-","-",INDEX(Event_Rumor!$E$2:$E$9,MATCH(J369,Event_Rumor!$A$2:$A$9,0)))</f>
        <v>-</v>
      </c>
    </row>
    <row r="370" spans="1:12" ht="15" customHeight="1" x14ac:dyDescent="0.3">
      <c r="A370" s="26">
        <v>45869</v>
      </c>
      <c r="B370" s="6">
        <v>18099</v>
      </c>
      <c r="C370" s="6">
        <v>18245</v>
      </c>
      <c r="D370" s="6">
        <v>17904</v>
      </c>
      <c r="E370" s="6">
        <v>18148</v>
      </c>
      <c r="F370" s="6">
        <v>53800</v>
      </c>
      <c r="G370" s="7">
        <f t="shared" ref="G370:H370" si="367">(E370-E369)/E369</f>
        <v>-6.6776135741652984E-3</v>
      </c>
      <c r="H370" s="7">
        <f t="shared" si="367"/>
        <v>8.0321285140562249E-2</v>
      </c>
      <c r="I370" s="8">
        <f>IF(COUNTIF(Event_Rumor!$B$2:$B$9,A370)&gt;0,1,0)</f>
        <v>0</v>
      </c>
      <c r="J370" s="8" t="str">
        <f t="array" ref="J37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0" s="8" t="str">
        <f t="array" ref="K370">IF(I370=1,"Event",IF(J370="-","Normal",IF(INDEX(Event_Rumor!$G$2:$G$9,MATCH(J370,Event_Rumor!$A$2:$A$9,0))&gt;ROW(),"Pre","Post")))</f>
        <v>Normal</v>
      </c>
      <c r="L370" s="11" t="str">
        <f t="array" ref="L370">IF(J370="-","-",INDEX(Event_Rumor!$E$2:$E$9,MATCH(J370,Event_Rumor!$A$2:$A$9,0)))</f>
        <v>-</v>
      </c>
    </row>
    <row r="371" spans="1:12" ht="15" customHeight="1" x14ac:dyDescent="0.3">
      <c r="A371" s="26">
        <v>45870</v>
      </c>
      <c r="B371" s="6">
        <v>18123</v>
      </c>
      <c r="C371" s="6">
        <v>18221</v>
      </c>
      <c r="D371" s="6">
        <v>18074</v>
      </c>
      <c r="E371" s="6">
        <v>18148</v>
      </c>
      <c r="F371" s="6">
        <v>8300</v>
      </c>
      <c r="G371" s="7">
        <f t="shared" ref="G371:H371" si="368">(E371-E370)/E370</f>
        <v>0</v>
      </c>
      <c r="H371" s="7">
        <f t="shared" si="368"/>
        <v>-0.84572490706319703</v>
      </c>
      <c r="I371" s="8">
        <f>IF(COUNTIF(Event_Rumor!$B$2:$B$9,A371)&gt;0,1,0)</f>
        <v>0</v>
      </c>
      <c r="J371" s="8" t="str">
        <f t="array" ref="J37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1" s="8" t="str">
        <f t="array" ref="K371">IF(I371=1,"Event",IF(J371="-","Normal",IF(INDEX(Event_Rumor!$G$2:$G$9,MATCH(J371,Event_Rumor!$A$2:$A$9,0))&gt;ROW(),"Pre","Post")))</f>
        <v>Normal</v>
      </c>
      <c r="L371" s="11" t="str">
        <f t="array" ref="L371">IF(J371="-","-",INDEX(Event_Rumor!$E$2:$E$9,MATCH(J371,Event_Rumor!$A$2:$A$9,0)))</f>
        <v>-</v>
      </c>
    </row>
    <row r="372" spans="1:12" ht="15" customHeight="1" x14ac:dyDescent="0.3">
      <c r="A372" s="26">
        <v>45873</v>
      </c>
      <c r="B372" s="6">
        <v>18148</v>
      </c>
      <c r="C372" s="6">
        <v>18245</v>
      </c>
      <c r="D372" s="6">
        <v>18050</v>
      </c>
      <c r="E372" s="6">
        <v>18148</v>
      </c>
      <c r="F372" s="6">
        <v>31000</v>
      </c>
      <c r="G372" s="7">
        <f t="shared" ref="G372:H372" si="369">(E372-E371)/E371</f>
        <v>0</v>
      </c>
      <c r="H372" s="7">
        <f t="shared" si="369"/>
        <v>2.7349397590361444</v>
      </c>
      <c r="I372" s="8">
        <f>IF(COUNTIF(Event_Rumor!$B$2:$B$9,A372)&gt;0,1,0)</f>
        <v>0</v>
      </c>
      <c r="J372" s="8" t="str">
        <f t="array" ref="J37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2" s="8" t="str">
        <f t="array" ref="K372">IF(I372=1,"Event",IF(J372="-","Normal",IF(INDEX(Event_Rumor!$G$2:$G$9,MATCH(J372,Event_Rumor!$A$2:$A$9,0))&gt;ROW(),"Pre","Post")))</f>
        <v>Normal</v>
      </c>
      <c r="L372" s="11" t="str">
        <f t="array" ref="L372">IF(J372="-","-",INDEX(Event_Rumor!$E$2:$E$9,MATCH(J372,Event_Rumor!$A$2:$A$9,0)))</f>
        <v>-</v>
      </c>
    </row>
    <row r="373" spans="1:12" ht="15" customHeight="1" x14ac:dyDescent="0.3">
      <c r="A373" s="26">
        <v>45874</v>
      </c>
      <c r="B373" s="6">
        <v>18148</v>
      </c>
      <c r="C373" s="6">
        <v>18245</v>
      </c>
      <c r="D373" s="6">
        <v>18050</v>
      </c>
      <c r="E373" s="6">
        <v>18050</v>
      </c>
      <c r="F373" s="6">
        <v>14500</v>
      </c>
      <c r="G373" s="7">
        <f t="shared" ref="G373:H373" si="370">(E373-E372)/E372</f>
        <v>-5.4000440819925062E-3</v>
      </c>
      <c r="H373" s="7">
        <f t="shared" si="370"/>
        <v>-0.532258064516129</v>
      </c>
      <c r="I373" s="8">
        <f>IF(COUNTIF(Event_Rumor!$B$2:$B$9,A373)&gt;0,1,0)</f>
        <v>0</v>
      </c>
      <c r="J373" s="8" t="str">
        <f t="array" ref="J37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3" s="8" t="str">
        <f t="array" ref="K373">IF(I373=1,"Event",IF(J373="-","Normal",IF(INDEX(Event_Rumor!$G$2:$G$9,MATCH(J373,Event_Rumor!$A$2:$A$9,0))&gt;ROW(),"Pre","Post")))</f>
        <v>Normal</v>
      </c>
      <c r="L373" s="11" t="str">
        <f t="array" ref="L373">IF(J373="-","-",INDEX(Event_Rumor!$E$2:$E$9,MATCH(J373,Event_Rumor!$A$2:$A$9,0)))</f>
        <v>-</v>
      </c>
    </row>
    <row r="374" spans="1:12" ht="15" customHeight="1" x14ac:dyDescent="0.3">
      <c r="A374" s="26">
        <v>45875</v>
      </c>
      <c r="B374" s="6">
        <v>18050</v>
      </c>
      <c r="C374" s="6">
        <v>18050</v>
      </c>
      <c r="D374" s="6">
        <v>17952</v>
      </c>
      <c r="E374" s="6">
        <v>17977</v>
      </c>
      <c r="F374" s="6">
        <v>21100</v>
      </c>
      <c r="G374" s="7">
        <f t="shared" ref="G374:H374" si="371">(E374-E373)/E373</f>
        <v>-4.0443213296398892E-3</v>
      </c>
      <c r="H374" s="7">
        <f t="shared" si="371"/>
        <v>0.45517241379310347</v>
      </c>
      <c r="I374" s="8">
        <f>IF(COUNTIF(Event_Rumor!$B$2:$B$9,A374)&gt;0,1,0)</f>
        <v>0</v>
      </c>
      <c r="J374" s="8" t="str">
        <f t="array" ref="J37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4" s="8" t="str">
        <f t="array" ref="K374">IF(I374=1,"Event",IF(J374="-","Normal",IF(INDEX(Event_Rumor!$G$2:$G$9,MATCH(J374,Event_Rumor!$A$2:$A$9,0))&gt;ROW(),"Pre","Post")))</f>
        <v>Normal</v>
      </c>
      <c r="L374" s="11" t="str">
        <f t="array" ref="L374">IF(J374="-","-",INDEX(Event_Rumor!$E$2:$E$9,MATCH(J374,Event_Rumor!$A$2:$A$9,0)))</f>
        <v>-</v>
      </c>
    </row>
    <row r="375" spans="1:12" ht="15" customHeight="1" x14ac:dyDescent="0.3">
      <c r="A375" s="26">
        <v>45876</v>
      </c>
      <c r="B375" s="6">
        <v>17977</v>
      </c>
      <c r="C375" s="6">
        <v>17977</v>
      </c>
      <c r="D375" s="6">
        <v>17904</v>
      </c>
      <c r="E375" s="6">
        <v>17977</v>
      </c>
      <c r="F375" s="6">
        <v>26800</v>
      </c>
      <c r="G375" s="7">
        <f t="shared" ref="G375:H375" si="372">(E375-E374)/E374</f>
        <v>0</v>
      </c>
      <c r="H375" s="7">
        <f t="shared" si="372"/>
        <v>0.27014218009478674</v>
      </c>
      <c r="I375" s="8">
        <f>IF(COUNTIF(Event_Rumor!$B$2:$B$9,A375)&gt;0,1,0)</f>
        <v>0</v>
      </c>
      <c r="J375" s="8" t="str">
        <f t="array" ref="J37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5" s="8" t="str">
        <f t="array" ref="K375">IF(I375=1,"Event",IF(J375="-","Normal",IF(INDEX(Event_Rumor!$G$2:$G$9,MATCH(J375,Event_Rumor!$A$2:$A$9,0))&gt;ROW(),"Pre","Post")))</f>
        <v>Normal</v>
      </c>
      <c r="L375" s="11" t="str">
        <f t="array" ref="L375">IF(J375="-","-",INDEX(Event_Rumor!$E$2:$E$9,MATCH(J375,Event_Rumor!$A$2:$A$9,0)))</f>
        <v>-</v>
      </c>
    </row>
    <row r="376" spans="1:12" ht="15" customHeight="1" x14ac:dyDescent="0.3">
      <c r="A376" s="26">
        <v>45877</v>
      </c>
      <c r="B376" s="6">
        <v>17904</v>
      </c>
      <c r="C376" s="6">
        <v>17952</v>
      </c>
      <c r="D376" s="6">
        <v>17904</v>
      </c>
      <c r="E376" s="6">
        <v>17904</v>
      </c>
      <c r="F376" s="6">
        <v>26300</v>
      </c>
      <c r="G376" s="7">
        <f t="shared" ref="G376:H376" si="373">(E376-E375)/E375</f>
        <v>-4.060744284363353E-3</v>
      </c>
      <c r="H376" s="7">
        <f t="shared" si="373"/>
        <v>-1.8656716417910446E-2</v>
      </c>
      <c r="I376" s="8">
        <f>IF(COUNTIF(Event_Rumor!$B$2:$B$9,A376)&gt;0,1,0)</f>
        <v>0</v>
      </c>
      <c r="J376" s="8" t="str">
        <f t="array" ref="J37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6" s="8" t="str">
        <f t="array" ref="K376">IF(I376=1,"Event",IF(J376="-","Normal",IF(INDEX(Event_Rumor!$G$2:$G$9,MATCH(J376,Event_Rumor!$A$2:$A$9,0))&gt;ROW(),"Pre","Post")))</f>
        <v>Normal</v>
      </c>
      <c r="L376" s="11" t="str">
        <f t="array" ref="L376">IF(J376="-","-",INDEX(Event_Rumor!$E$2:$E$9,MATCH(J376,Event_Rumor!$A$2:$A$9,0)))</f>
        <v>-</v>
      </c>
    </row>
    <row r="377" spans="1:12" ht="15" customHeight="1" x14ac:dyDescent="0.3">
      <c r="A377" s="26">
        <v>45880</v>
      </c>
      <c r="B377" s="6">
        <v>17904</v>
      </c>
      <c r="C377" s="6">
        <v>17904</v>
      </c>
      <c r="D377" s="6">
        <v>17855</v>
      </c>
      <c r="E377" s="6">
        <v>17855</v>
      </c>
      <c r="F377" s="6">
        <v>21400</v>
      </c>
      <c r="G377" s="7">
        <f t="shared" ref="G377:H377" si="374">(E377-E376)/E376</f>
        <v>-2.7368185880250221E-3</v>
      </c>
      <c r="H377" s="7">
        <f t="shared" si="374"/>
        <v>-0.18631178707224336</v>
      </c>
      <c r="I377" s="8">
        <f>IF(COUNTIF(Event_Rumor!$B$2:$B$9,A377)&gt;0,1,0)</f>
        <v>0</v>
      </c>
      <c r="J377" s="8" t="str">
        <f t="array" ref="J37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7" s="8" t="str">
        <f t="array" ref="K377">IF(I377=1,"Event",IF(J377="-","Normal",IF(INDEX(Event_Rumor!$G$2:$G$9,MATCH(J377,Event_Rumor!$A$2:$A$9,0))&gt;ROW(),"Pre","Post")))</f>
        <v>Normal</v>
      </c>
      <c r="L377" s="11" t="str">
        <f t="array" ref="L377">IF(J377="-","-",INDEX(Event_Rumor!$E$2:$E$9,MATCH(J377,Event_Rumor!$A$2:$A$9,0)))</f>
        <v>-</v>
      </c>
    </row>
    <row r="378" spans="1:12" ht="15" customHeight="1" x14ac:dyDescent="0.3">
      <c r="A378" s="26">
        <v>45881</v>
      </c>
      <c r="B378" s="6">
        <v>17855</v>
      </c>
      <c r="C378" s="6">
        <v>17904</v>
      </c>
      <c r="D378" s="6">
        <v>17782</v>
      </c>
      <c r="E378" s="6">
        <v>17855</v>
      </c>
      <c r="F378" s="6">
        <v>35700</v>
      </c>
      <c r="G378" s="7">
        <f t="shared" ref="G378:H378" si="375">(E378-E377)/E377</f>
        <v>0</v>
      </c>
      <c r="H378" s="7">
        <f t="shared" si="375"/>
        <v>0.66822429906542058</v>
      </c>
      <c r="I378" s="8">
        <f>IF(COUNTIF(Event_Rumor!$B$2:$B$9,A378)&gt;0,1,0)</f>
        <v>0</v>
      </c>
      <c r="J378" s="8" t="str">
        <f t="array" ref="J37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8" s="8" t="str">
        <f t="array" ref="K378">IF(I378=1,"Event",IF(J378="-","Normal",IF(INDEX(Event_Rumor!$G$2:$G$9,MATCH(J378,Event_Rumor!$A$2:$A$9,0))&gt;ROW(),"Pre","Post")))</f>
        <v>Normal</v>
      </c>
      <c r="L378" s="11" t="str">
        <f t="array" ref="L378">IF(J378="-","-",INDEX(Event_Rumor!$E$2:$E$9,MATCH(J378,Event_Rumor!$A$2:$A$9,0)))</f>
        <v>-</v>
      </c>
    </row>
    <row r="379" spans="1:12" ht="15" customHeight="1" x14ac:dyDescent="0.3">
      <c r="A379" s="26">
        <v>45882</v>
      </c>
      <c r="B379" s="6">
        <v>17879</v>
      </c>
      <c r="C379" s="6">
        <v>17879</v>
      </c>
      <c r="D379" s="6">
        <v>17708</v>
      </c>
      <c r="E379" s="6">
        <v>17855</v>
      </c>
      <c r="F379" s="6">
        <v>94600</v>
      </c>
      <c r="G379" s="7">
        <f t="shared" ref="G379:H379" si="376">(E379-E378)/E378</f>
        <v>0</v>
      </c>
      <c r="H379" s="7">
        <f t="shared" si="376"/>
        <v>1.6498599439775909</v>
      </c>
      <c r="I379" s="8">
        <f>IF(COUNTIF(Event_Rumor!$B$2:$B$9,A379)&gt;0,1,0)</f>
        <v>0</v>
      </c>
      <c r="J379" s="8" t="str">
        <f t="array" ref="J37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79" s="8" t="str">
        <f t="array" ref="K379">IF(I379=1,"Event",IF(J379="-","Normal",IF(INDEX(Event_Rumor!$G$2:$G$9,MATCH(J379,Event_Rumor!$A$2:$A$9,0))&gt;ROW(),"Pre","Post")))</f>
        <v>Normal</v>
      </c>
      <c r="L379" s="11" t="str">
        <f t="array" ref="L379">IF(J379="-","-",INDEX(Event_Rumor!$E$2:$E$9,MATCH(J379,Event_Rumor!$A$2:$A$9,0)))</f>
        <v>-</v>
      </c>
    </row>
    <row r="380" spans="1:12" ht="15" customHeight="1" x14ac:dyDescent="0.3">
      <c r="A380" s="26">
        <v>45883</v>
      </c>
      <c r="B380" s="6">
        <v>17855</v>
      </c>
      <c r="C380" s="6">
        <v>17904</v>
      </c>
      <c r="D380" s="6">
        <v>17806</v>
      </c>
      <c r="E380" s="6">
        <v>17855</v>
      </c>
      <c r="F380" s="6">
        <v>26000</v>
      </c>
      <c r="G380" s="7">
        <f t="shared" ref="G380:H380" si="377">(E380-E379)/E379</f>
        <v>0</v>
      </c>
      <c r="H380" s="7">
        <f t="shared" si="377"/>
        <v>-0.72515856236786469</v>
      </c>
      <c r="I380" s="8">
        <f>IF(COUNTIF(Event_Rumor!$B$2:$B$9,A380)&gt;0,1,0)</f>
        <v>0</v>
      </c>
      <c r="J380" s="8" t="str">
        <f t="array" ref="J38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0" s="8" t="str">
        <f t="array" ref="K380">IF(I380=1,"Event",IF(J380="-","Normal",IF(INDEX(Event_Rumor!$G$2:$G$9,MATCH(J380,Event_Rumor!$A$2:$A$9,0))&gt;ROW(),"Pre","Post")))</f>
        <v>Normal</v>
      </c>
      <c r="L380" s="11" t="str">
        <f t="array" ref="L380">IF(J380="-","-",INDEX(Event_Rumor!$E$2:$E$9,MATCH(J380,Event_Rumor!$A$2:$A$9,0)))</f>
        <v>-</v>
      </c>
    </row>
    <row r="381" spans="1:12" ht="15" customHeight="1" x14ac:dyDescent="0.3">
      <c r="A381" s="26">
        <v>45884</v>
      </c>
      <c r="B381" s="6">
        <v>17879</v>
      </c>
      <c r="C381" s="6">
        <v>17977</v>
      </c>
      <c r="D381" s="6">
        <v>17855</v>
      </c>
      <c r="E381" s="6">
        <v>17855</v>
      </c>
      <c r="F381" s="6">
        <v>57800</v>
      </c>
      <c r="G381" s="7">
        <f t="shared" ref="G381:H381" si="378">(E381-E380)/E380</f>
        <v>0</v>
      </c>
      <c r="H381" s="7">
        <f t="shared" si="378"/>
        <v>1.2230769230769232</v>
      </c>
      <c r="I381" s="8">
        <f>IF(COUNTIF(Event_Rumor!$B$2:$B$9,A381)&gt;0,1,0)</f>
        <v>0</v>
      </c>
      <c r="J381" s="8" t="str">
        <f t="array" ref="J38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1" s="8" t="str">
        <f t="array" ref="K381">IF(I381=1,"Event",IF(J381="-","Normal",IF(INDEX(Event_Rumor!$G$2:$G$9,MATCH(J381,Event_Rumor!$A$2:$A$9,0))&gt;ROW(),"Pre","Post")))</f>
        <v>Normal</v>
      </c>
      <c r="L381" s="11" t="str">
        <f t="array" ref="L381">IF(J381="-","-",INDEX(Event_Rumor!$E$2:$E$9,MATCH(J381,Event_Rumor!$A$2:$A$9,0)))</f>
        <v>-</v>
      </c>
    </row>
    <row r="382" spans="1:12" ht="15" customHeight="1" x14ac:dyDescent="0.3">
      <c r="A382" s="26">
        <v>45888</v>
      </c>
      <c r="B382" s="6">
        <v>17855</v>
      </c>
      <c r="C382" s="6">
        <v>17928</v>
      </c>
      <c r="D382" s="6">
        <v>17830</v>
      </c>
      <c r="E382" s="6">
        <v>17830</v>
      </c>
      <c r="F382" s="6">
        <v>16200</v>
      </c>
      <c r="G382" s="7">
        <f t="shared" ref="G382:H382" si="379">(E382-E381)/E381</f>
        <v>-1.4001680201624195E-3</v>
      </c>
      <c r="H382" s="7">
        <f t="shared" si="379"/>
        <v>-0.7197231833910035</v>
      </c>
      <c r="I382" s="8">
        <f>IF(COUNTIF(Event_Rumor!$B$2:$B$9,A382)&gt;0,1,0)</f>
        <v>0</v>
      </c>
      <c r="J382" s="8" t="str">
        <f t="array" ref="J38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2" s="8" t="str">
        <f t="array" ref="K382">IF(I382=1,"Event",IF(J382="-","Normal",IF(INDEX(Event_Rumor!$G$2:$G$9,MATCH(J382,Event_Rumor!$A$2:$A$9,0))&gt;ROW(),"Pre","Post")))</f>
        <v>Normal</v>
      </c>
      <c r="L382" s="11" t="str">
        <f t="array" ref="L382">IF(J382="-","-",INDEX(Event_Rumor!$E$2:$E$9,MATCH(J382,Event_Rumor!$A$2:$A$9,0)))</f>
        <v>-</v>
      </c>
    </row>
    <row r="383" spans="1:12" ht="15" customHeight="1" x14ac:dyDescent="0.3">
      <c r="A383" s="26">
        <v>45889</v>
      </c>
      <c r="B383" s="6">
        <v>17830</v>
      </c>
      <c r="C383" s="6">
        <v>17904</v>
      </c>
      <c r="D383" s="6">
        <v>17806</v>
      </c>
      <c r="E383" s="6">
        <v>17830</v>
      </c>
      <c r="F383" s="6">
        <v>25500</v>
      </c>
      <c r="G383" s="7">
        <f t="shared" ref="G383:H383" si="380">(E383-E382)/E382</f>
        <v>0</v>
      </c>
      <c r="H383" s="7">
        <f t="shared" si="380"/>
        <v>0.57407407407407407</v>
      </c>
      <c r="I383" s="8">
        <f>IF(COUNTIF(Event_Rumor!$B$2:$B$9,A383)&gt;0,1,0)</f>
        <v>0</v>
      </c>
      <c r="J383" s="8" t="str">
        <f t="array" ref="J38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3" s="8" t="str">
        <f t="array" ref="K383">IF(I383=1,"Event",IF(J383="-","Normal",IF(INDEX(Event_Rumor!$G$2:$G$9,MATCH(J383,Event_Rumor!$A$2:$A$9,0))&gt;ROW(),"Pre","Post")))</f>
        <v>Normal</v>
      </c>
      <c r="L383" s="11" t="str">
        <f t="array" ref="L383">IF(J383="-","-",INDEX(Event_Rumor!$E$2:$E$9,MATCH(J383,Event_Rumor!$A$2:$A$9,0)))</f>
        <v>-</v>
      </c>
    </row>
    <row r="384" spans="1:12" ht="15" customHeight="1" x14ac:dyDescent="0.3">
      <c r="A384" s="26">
        <v>45890</v>
      </c>
      <c r="B384" s="6">
        <v>17855</v>
      </c>
      <c r="C384" s="6">
        <v>17904</v>
      </c>
      <c r="D384" s="6">
        <v>17757</v>
      </c>
      <c r="E384" s="6">
        <v>17904</v>
      </c>
      <c r="F384" s="6">
        <v>5400</v>
      </c>
      <c r="G384" s="7">
        <f t="shared" ref="G384:H384" si="381">(E384-E383)/E383</f>
        <v>4.1503084688726865E-3</v>
      </c>
      <c r="H384" s="7">
        <f t="shared" si="381"/>
        <v>-0.78823529411764703</v>
      </c>
      <c r="I384" s="8">
        <f>IF(COUNTIF(Event_Rumor!$B$2:$B$9,A384)&gt;0,1,0)</f>
        <v>0</v>
      </c>
      <c r="J384" s="8" t="str">
        <f t="array" ref="J38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4" s="8" t="str">
        <f t="array" ref="K384">IF(I384=1,"Event",IF(J384="-","Normal",IF(INDEX(Event_Rumor!$G$2:$G$9,MATCH(J384,Event_Rumor!$A$2:$A$9,0))&gt;ROW(),"Pre","Post")))</f>
        <v>Normal</v>
      </c>
      <c r="L384" s="11" t="str">
        <f t="array" ref="L384">IF(J384="-","-",INDEX(Event_Rumor!$E$2:$E$9,MATCH(J384,Event_Rumor!$A$2:$A$9,0)))</f>
        <v>-</v>
      </c>
    </row>
    <row r="385" spans="1:12" ht="15" customHeight="1" x14ac:dyDescent="0.3">
      <c r="A385" s="26">
        <v>45891</v>
      </c>
      <c r="B385" s="6">
        <v>17904</v>
      </c>
      <c r="C385" s="6">
        <v>17904</v>
      </c>
      <c r="D385" s="6">
        <v>17757</v>
      </c>
      <c r="E385" s="6">
        <v>17757</v>
      </c>
      <c r="F385" s="6">
        <v>13800</v>
      </c>
      <c r="G385" s="7">
        <f t="shared" ref="G385:H385" si="382">(E385-E384)/E384</f>
        <v>-8.2104557640750673E-3</v>
      </c>
      <c r="H385" s="7">
        <f t="shared" si="382"/>
        <v>1.5555555555555556</v>
      </c>
      <c r="I385" s="8">
        <f>IF(COUNTIF(Event_Rumor!$B$2:$B$9,A385)&gt;0,1,0)</f>
        <v>0</v>
      </c>
      <c r="J385" s="8" t="str">
        <f t="array" ref="J38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5" s="8" t="str">
        <f t="array" ref="K385">IF(I385=1,"Event",IF(J385="-","Normal",IF(INDEX(Event_Rumor!$G$2:$G$9,MATCH(J385,Event_Rumor!$A$2:$A$9,0))&gt;ROW(),"Pre","Post")))</f>
        <v>Normal</v>
      </c>
      <c r="L385" s="11" t="str">
        <f t="array" ref="L385">IF(J385="-","-",INDEX(Event_Rumor!$E$2:$E$9,MATCH(J385,Event_Rumor!$A$2:$A$9,0)))</f>
        <v>-</v>
      </c>
    </row>
    <row r="386" spans="1:12" ht="15" customHeight="1" x14ac:dyDescent="0.3">
      <c r="A386" s="26">
        <v>45894</v>
      </c>
      <c r="B386" s="6">
        <v>17952</v>
      </c>
      <c r="C386" s="6">
        <v>17952</v>
      </c>
      <c r="D386" s="6">
        <v>17757</v>
      </c>
      <c r="E386" s="6">
        <v>17879</v>
      </c>
      <c r="F386" s="6">
        <v>14100</v>
      </c>
      <c r="G386" s="7">
        <f t="shared" ref="G386:H386" si="383">(E386-E385)/E385</f>
        <v>6.8705299318578585E-3</v>
      </c>
      <c r="H386" s="7">
        <f t="shared" si="383"/>
        <v>2.1739130434782608E-2</v>
      </c>
      <c r="I386" s="8">
        <f>IF(COUNTIF(Event_Rumor!$B$2:$B$9,A386)&gt;0,1,0)</f>
        <v>0</v>
      </c>
      <c r="J386" s="8" t="str">
        <f t="array" ref="J38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6" s="8" t="str">
        <f t="array" ref="K386">IF(I386=1,"Event",IF(J386="-","Normal",IF(INDEX(Event_Rumor!$G$2:$G$9,MATCH(J386,Event_Rumor!$A$2:$A$9,0))&gt;ROW(),"Pre","Post")))</f>
        <v>Normal</v>
      </c>
      <c r="L386" s="11" t="str">
        <f t="array" ref="L386">IF(J386="-","-",INDEX(Event_Rumor!$E$2:$E$9,MATCH(J386,Event_Rumor!$A$2:$A$9,0)))</f>
        <v>-</v>
      </c>
    </row>
    <row r="387" spans="1:12" ht="15" customHeight="1" x14ac:dyDescent="0.3">
      <c r="A387" s="26">
        <v>45895</v>
      </c>
      <c r="B387" s="6">
        <v>17904</v>
      </c>
      <c r="C387" s="6">
        <v>17904</v>
      </c>
      <c r="D387" s="6">
        <v>17855</v>
      </c>
      <c r="E387" s="6">
        <v>17879</v>
      </c>
      <c r="F387" s="6">
        <v>6200</v>
      </c>
      <c r="G387" s="7">
        <f t="shared" ref="G387:H387" si="384">(E387-E386)/E386</f>
        <v>0</v>
      </c>
      <c r="H387" s="7">
        <f t="shared" si="384"/>
        <v>-0.56028368794326244</v>
      </c>
      <c r="I387" s="8">
        <f>IF(COUNTIF(Event_Rumor!$B$2:$B$9,A387)&gt;0,1,0)</f>
        <v>0</v>
      </c>
      <c r="J387" s="8" t="str">
        <f t="array" ref="J38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7" s="8" t="str">
        <f t="array" ref="K387">IF(I387=1,"Event",IF(J387="-","Normal",IF(INDEX(Event_Rumor!$G$2:$G$9,MATCH(J387,Event_Rumor!$A$2:$A$9,0))&gt;ROW(),"Pre","Post")))</f>
        <v>Normal</v>
      </c>
      <c r="L387" s="11" t="str">
        <f t="array" ref="L387">IF(J387="-","-",INDEX(Event_Rumor!$E$2:$E$9,MATCH(J387,Event_Rumor!$A$2:$A$9,0)))</f>
        <v>-</v>
      </c>
    </row>
    <row r="388" spans="1:12" ht="15" customHeight="1" x14ac:dyDescent="0.3">
      <c r="A388" s="26">
        <v>45896</v>
      </c>
      <c r="B388" s="6">
        <v>17879</v>
      </c>
      <c r="C388" s="6">
        <v>17879</v>
      </c>
      <c r="D388" s="6">
        <v>17782</v>
      </c>
      <c r="E388" s="6">
        <v>17830</v>
      </c>
      <c r="F388" s="6">
        <v>4500</v>
      </c>
      <c r="G388" s="7">
        <f t="shared" ref="G388:H388" si="385">(E388-E387)/E387</f>
        <v>-2.7406454499692375E-3</v>
      </c>
      <c r="H388" s="7">
        <f t="shared" si="385"/>
        <v>-0.27419354838709675</v>
      </c>
      <c r="I388" s="8">
        <f>IF(COUNTIF(Event_Rumor!$B$2:$B$9,A388)&gt;0,1,0)</f>
        <v>0</v>
      </c>
      <c r="J388" s="8" t="str">
        <f t="array" ref="J38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8" s="8" t="str">
        <f t="array" ref="K388">IF(I388=1,"Event",IF(J388="-","Normal",IF(INDEX(Event_Rumor!$G$2:$G$9,MATCH(J388,Event_Rumor!$A$2:$A$9,0))&gt;ROW(),"Pre","Post")))</f>
        <v>Normal</v>
      </c>
      <c r="L388" s="11" t="str">
        <f t="array" ref="L388">IF(J388="-","-",INDEX(Event_Rumor!$E$2:$E$9,MATCH(J388,Event_Rumor!$A$2:$A$9,0)))</f>
        <v>-</v>
      </c>
    </row>
    <row r="389" spans="1:12" ht="15" customHeight="1" x14ac:dyDescent="0.3">
      <c r="A389" s="26">
        <v>45897</v>
      </c>
      <c r="B389" s="6">
        <v>17830</v>
      </c>
      <c r="C389" s="6">
        <v>17879</v>
      </c>
      <c r="D389" s="6">
        <v>17782</v>
      </c>
      <c r="E389" s="6">
        <v>17806</v>
      </c>
      <c r="F389" s="6">
        <v>10000</v>
      </c>
      <c r="G389" s="7">
        <f t="shared" ref="G389:H389" si="386">(E389-E388)/E388</f>
        <v>-1.3460459899046551E-3</v>
      </c>
      <c r="H389" s="7">
        <f t="shared" si="386"/>
        <v>1.2222222222222223</v>
      </c>
      <c r="I389" s="8">
        <f>IF(COUNTIF(Event_Rumor!$B$2:$B$9,A389)&gt;0,1,0)</f>
        <v>0</v>
      </c>
      <c r="J389" s="8" t="str">
        <f t="array" ref="J38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89" s="8" t="str">
        <f t="array" ref="K389">IF(I389=1,"Event",IF(J389="-","Normal",IF(INDEX(Event_Rumor!$G$2:$G$9,MATCH(J389,Event_Rumor!$A$2:$A$9,0))&gt;ROW(),"Pre","Post")))</f>
        <v>Normal</v>
      </c>
      <c r="L389" s="11" t="str">
        <f t="array" ref="L389">IF(J389="-","-",INDEX(Event_Rumor!$E$2:$E$9,MATCH(J389,Event_Rumor!$A$2:$A$9,0)))</f>
        <v>-</v>
      </c>
    </row>
    <row r="390" spans="1:12" ht="15" customHeight="1" x14ac:dyDescent="0.3">
      <c r="A390" s="26">
        <v>45898</v>
      </c>
      <c r="B390" s="6">
        <v>17806</v>
      </c>
      <c r="C390" s="6">
        <v>17806</v>
      </c>
      <c r="D390" s="6">
        <v>17635</v>
      </c>
      <c r="E390" s="6">
        <v>17708</v>
      </c>
      <c r="F390" s="6">
        <v>30100</v>
      </c>
      <c r="G390" s="7">
        <f t="shared" ref="G390:H390" si="387">(E390-E389)/E389</f>
        <v>-5.5037627765921601E-3</v>
      </c>
      <c r="H390" s="7">
        <f t="shared" si="387"/>
        <v>2.0099999999999998</v>
      </c>
      <c r="I390" s="8">
        <f>IF(COUNTIF(Event_Rumor!$B$2:$B$9,A390)&gt;0,1,0)</f>
        <v>0</v>
      </c>
      <c r="J390" s="8" t="str">
        <f t="array" ref="J39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0" s="8" t="str">
        <f t="array" ref="K390">IF(I390=1,"Event",IF(J390="-","Normal",IF(INDEX(Event_Rumor!$G$2:$G$9,MATCH(J390,Event_Rumor!$A$2:$A$9,0))&gt;ROW(),"Pre","Post")))</f>
        <v>Normal</v>
      </c>
      <c r="L390" s="11" t="str">
        <f t="array" ref="L390">IF(J390="-","-",INDEX(Event_Rumor!$E$2:$E$9,MATCH(J390,Event_Rumor!$A$2:$A$9,0)))</f>
        <v>-</v>
      </c>
    </row>
    <row r="391" spans="1:12" ht="15" customHeight="1" x14ac:dyDescent="0.3">
      <c r="A391" s="26">
        <v>45901</v>
      </c>
      <c r="B391" s="6">
        <v>17587</v>
      </c>
      <c r="C391" s="6">
        <v>17611</v>
      </c>
      <c r="D391" s="6">
        <v>17416</v>
      </c>
      <c r="E391" s="6">
        <v>17489</v>
      </c>
      <c r="F391" s="6">
        <v>39900</v>
      </c>
      <c r="G391" s="7">
        <f t="shared" ref="G391:H391" si="388">(E391-E390)/E390</f>
        <v>-1.2367291619606957E-2</v>
      </c>
      <c r="H391" s="7">
        <f t="shared" si="388"/>
        <v>0.32558139534883723</v>
      </c>
      <c r="I391" s="8">
        <f>IF(COUNTIF(Event_Rumor!$B$2:$B$9,A391)&gt;0,1,0)</f>
        <v>0</v>
      </c>
      <c r="J391" s="8" t="str">
        <f t="array" ref="J39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1" s="8" t="str">
        <f t="array" ref="K391">IF(I391=1,"Event",IF(J391="-","Normal",IF(INDEX(Event_Rumor!$G$2:$G$9,MATCH(J391,Event_Rumor!$A$2:$A$9,0))&gt;ROW(),"Pre","Post")))</f>
        <v>Normal</v>
      </c>
      <c r="L391" s="11" t="str">
        <f t="array" ref="L391">IF(J391="-","-",INDEX(Event_Rumor!$E$2:$E$9,MATCH(J391,Event_Rumor!$A$2:$A$9,0)))</f>
        <v>-</v>
      </c>
    </row>
    <row r="392" spans="1:12" ht="15" customHeight="1" x14ac:dyDescent="0.3">
      <c r="A392" s="26">
        <v>45902</v>
      </c>
      <c r="B392" s="6">
        <v>17489</v>
      </c>
      <c r="C392" s="6">
        <v>17782</v>
      </c>
      <c r="D392" s="6">
        <v>17489</v>
      </c>
      <c r="E392" s="6">
        <v>17660</v>
      </c>
      <c r="F392" s="6">
        <v>21800</v>
      </c>
      <c r="G392" s="7">
        <f t="shared" ref="G392:H392" si="389">(E392-E391)/E391</f>
        <v>9.7775744753845276E-3</v>
      </c>
      <c r="H392" s="7">
        <f t="shared" si="389"/>
        <v>-0.45363408521303256</v>
      </c>
      <c r="I392" s="8">
        <f>IF(COUNTIF(Event_Rumor!$B$2:$B$9,A392)&gt;0,1,0)</f>
        <v>0</v>
      </c>
      <c r="J392" s="8" t="str">
        <f t="array" ref="J39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2" s="8" t="str">
        <f t="array" ref="K392">IF(I392=1,"Event",IF(J392="-","Normal",IF(INDEX(Event_Rumor!$G$2:$G$9,MATCH(J392,Event_Rumor!$A$2:$A$9,0))&gt;ROW(),"Pre","Post")))</f>
        <v>Normal</v>
      </c>
      <c r="L392" s="11" t="str">
        <f t="array" ref="L392">IF(J392="-","-",INDEX(Event_Rumor!$E$2:$E$9,MATCH(J392,Event_Rumor!$A$2:$A$9,0)))</f>
        <v>-</v>
      </c>
    </row>
    <row r="393" spans="1:12" ht="15" customHeight="1" x14ac:dyDescent="0.3">
      <c r="A393" s="26">
        <v>45903</v>
      </c>
      <c r="B393" s="6">
        <v>17660</v>
      </c>
      <c r="C393" s="6">
        <v>17830</v>
      </c>
      <c r="D393" s="6">
        <v>17660</v>
      </c>
      <c r="E393" s="6">
        <v>17708</v>
      </c>
      <c r="F393" s="6">
        <v>7900</v>
      </c>
      <c r="G393" s="7">
        <f t="shared" ref="G393:H393" si="390">(E393-E392)/E392</f>
        <v>2.7180067950169874E-3</v>
      </c>
      <c r="H393" s="7">
        <f t="shared" si="390"/>
        <v>-0.63761467889908252</v>
      </c>
      <c r="I393" s="8">
        <f>IF(COUNTIF(Event_Rumor!$B$2:$B$9,A393)&gt;0,1,0)</f>
        <v>0</v>
      </c>
      <c r="J393" s="8" t="str">
        <f t="array" ref="J39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3" s="8" t="str">
        <f t="array" ref="K393">IF(I393=1,"Event",IF(J393="-","Normal",IF(INDEX(Event_Rumor!$G$2:$G$9,MATCH(J393,Event_Rumor!$A$2:$A$9,0))&gt;ROW(),"Pre","Post")))</f>
        <v>Normal</v>
      </c>
      <c r="L393" s="11" t="str">
        <f t="array" ref="L393">IF(J393="-","-",INDEX(Event_Rumor!$E$2:$E$9,MATCH(J393,Event_Rumor!$A$2:$A$9,0)))</f>
        <v>-</v>
      </c>
    </row>
    <row r="394" spans="1:12" ht="15" customHeight="1" x14ac:dyDescent="0.3">
      <c r="A394" s="26">
        <v>45904</v>
      </c>
      <c r="B394" s="6">
        <v>17708</v>
      </c>
      <c r="C394" s="6">
        <v>17782</v>
      </c>
      <c r="D394" s="6">
        <v>17611</v>
      </c>
      <c r="E394" s="6">
        <v>17708</v>
      </c>
      <c r="F394" s="6">
        <v>10000</v>
      </c>
      <c r="G394" s="7">
        <f t="shared" ref="G394:H394" si="391">(E394-E393)/E393</f>
        <v>0</v>
      </c>
      <c r="H394" s="7">
        <f t="shared" si="391"/>
        <v>0.26582278481012656</v>
      </c>
      <c r="I394" s="8">
        <f>IF(COUNTIF(Event_Rumor!$B$2:$B$9,A394)&gt;0,1,0)</f>
        <v>0</v>
      </c>
      <c r="J394" s="8" t="str">
        <f t="array" ref="J39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4" s="8" t="str">
        <f t="array" ref="K394">IF(I394=1,"Event",IF(J394="-","Normal",IF(INDEX(Event_Rumor!$G$2:$G$9,MATCH(J394,Event_Rumor!$A$2:$A$9,0))&gt;ROW(),"Pre","Post")))</f>
        <v>Normal</v>
      </c>
      <c r="L394" s="11" t="str">
        <f t="array" ref="L394">IF(J394="-","-",INDEX(Event_Rumor!$E$2:$E$9,MATCH(J394,Event_Rumor!$A$2:$A$9,0)))</f>
        <v>-</v>
      </c>
    </row>
    <row r="395" spans="1:12" ht="15" customHeight="1" x14ac:dyDescent="0.3">
      <c r="A395" s="26">
        <v>45908</v>
      </c>
      <c r="B395" s="6">
        <v>17708</v>
      </c>
      <c r="C395" s="6">
        <v>17708</v>
      </c>
      <c r="D395" s="6">
        <v>17538</v>
      </c>
      <c r="E395" s="6">
        <v>17538</v>
      </c>
      <c r="F395" s="6">
        <v>16600</v>
      </c>
      <c r="G395" s="7">
        <f t="shared" ref="G395:H395" si="392">(E395-E394)/E394</f>
        <v>-9.6001807092839387E-3</v>
      </c>
      <c r="H395" s="7">
        <f t="shared" si="392"/>
        <v>0.66</v>
      </c>
      <c r="I395" s="8">
        <f>IF(COUNTIF(Event_Rumor!$B$2:$B$9,A395)&gt;0,1,0)</f>
        <v>0</v>
      </c>
      <c r="J395" s="8" t="str">
        <f t="array" ref="J39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5" s="8" t="str">
        <f t="array" ref="K395">IF(I395=1,"Event",IF(J395="-","Normal",IF(INDEX(Event_Rumor!$G$2:$G$9,MATCH(J395,Event_Rumor!$A$2:$A$9,0))&gt;ROW(),"Pre","Post")))</f>
        <v>Normal</v>
      </c>
      <c r="L395" s="11" t="str">
        <f t="array" ref="L395">IF(J395="-","-",INDEX(Event_Rumor!$E$2:$E$9,MATCH(J395,Event_Rumor!$A$2:$A$9,0)))</f>
        <v>-</v>
      </c>
    </row>
    <row r="396" spans="1:12" ht="15" customHeight="1" x14ac:dyDescent="0.3">
      <c r="A396" s="26">
        <v>45909</v>
      </c>
      <c r="B396" s="6">
        <v>17538</v>
      </c>
      <c r="C396" s="6">
        <v>17538</v>
      </c>
      <c r="D396" s="6">
        <v>17465</v>
      </c>
      <c r="E396" s="6">
        <v>17489</v>
      </c>
      <c r="F396" s="6">
        <v>15900</v>
      </c>
      <c r="G396" s="7">
        <f t="shared" ref="G396:H396" si="393">(E396-E395)/E395</f>
        <v>-2.7939331736800089E-3</v>
      </c>
      <c r="H396" s="7">
        <f t="shared" si="393"/>
        <v>-4.2168674698795178E-2</v>
      </c>
      <c r="I396" s="8">
        <f>IF(COUNTIF(Event_Rumor!$B$2:$B$9,A396)&gt;0,1,0)</f>
        <v>0</v>
      </c>
      <c r="J396" s="8" t="str">
        <f t="array" ref="J39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6" s="8" t="str">
        <f t="array" ref="K396">IF(I396=1,"Event",IF(J396="-","Normal",IF(INDEX(Event_Rumor!$G$2:$G$9,MATCH(J396,Event_Rumor!$A$2:$A$9,0))&gt;ROW(),"Pre","Post")))</f>
        <v>Normal</v>
      </c>
      <c r="L396" s="11" t="str">
        <f t="array" ref="L396">IF(J396="-","-",INDEX(Event_Rumor!$E$2:$E$9,MATCH(J396,Event_Rumor!$A$2:$A$9,0)))</f>
        <v>-</v>
      </c>
    </row>
    <row r="397" spans="1:12" ht="15" customHeight="1" x14ac:dyDescent="0.3">
      <c r="A397" s="26">
        <v>45910</v>
      </c>
      <c r="B397" s="6">
        <v>17489</v>
      </c>
      <c r="C397" s="6">
        <v>17782</v>
      </c>
      <c r="D397" s="6">
        <v>17489</v>
      </c>
      <c r="E397" s="6">
        <v>17660</v>
      </c>
      <c r="F397" s="6">
        <v>10400</v>
      </c>
      <c r="G397" s="7">
        <f t="shared" ref="G397:H397" si="394">(E397-E396)/E396</f>
        <v>9.7775744753845276E-3</v>
      </c>
      <c r="H397" s="7">
        <f t="shared" si="394"/>
        <v>-0.34591194968553457</v>
      </c>
      <c r="I397" s="8">
        <f>IF(COUNTIF(Event_Rumor!$B$2:$B$9,A397)&gt;0,1,0)</f>
        <v>0</v>
      </c>
      <c r="J397" s="8" t="str">
        <f t="array" ref="J39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7" s="8" t="str">
        <f t="array" ref="K397">IF(I397=1,"Event",IF(J397="-","Normal",IF(INDEX(Event_Rumor!$G$2:$G$9,MATCH(J397,Event_Rumor!$A$2:$A$9,0))&gt;ROW(),"Pre","Post")))</f>
        <v>Normal</v>
      </c>
      <c r="L397" s="11" t="str">
        <f t="array" ref="L397">IF(J397="-","-",INDEX(Event_Rumor!$E$2:$E$9,MATCH(J397,Event_Rumor!$A$2:$A$9,0)))</f>
        <v>-</v>
      </c>
    </row>
    <row r="398" spans="1:12" ht="15" customHeight="1" x14ac:dyDescent="0.3">
      <c r="A398" s="26">
        <v>45911</v>
      </c>
      <c r="B398" s="6">
        <v>17660</v>
      </c>
      <c r="C398" s="6">
        <v>18221</v>
      </c>
      <c r="D398" s="6">
        <v>17562</v>
      </c>
      <c r="E398" s="6">
        <v>17904</v>
      </c>
      <c r="F398" s="6">
        <v>23800</v>
      </c>
      <c r="G398" s="7">
        <f t="shared" ref="G398:H398" si="395">(E398-E397)/E397</f>
        <v>1.3816534541336353E-2</v>
      </c>
      <c r="H398" s="7">
        <f t="shared" si="395"/>
        <v>1.2884615384615385</v>
      </c>
      <c r="I398" s="8">
        <f>IF(COUNTIF(Event_Rumor!$B$2:$B$9,A398)&gt;0,1,0)</f>
        <v>0</v>
      </c>
      <c r="J398" s="8" t="str">
        <f t="array" ref="J39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8" s="8" t="str">
        <f t="array" ref="K398">IF(I398=1,"Event",IF(J398="-","Normal",IF(INDEX(Event_Rumor!$G$2:$G$9,MATCH(J398,Event_Rumor!$A$2:$A$9,0))&gt;ROW(),"Pre","Post")))</f>
        <v>Normal</v>
      </c>
      <c r="L398" s="11" t="str">
        <f t="array" ref="L398">IF(J398="-","-",INDEX(Event_Rumor!$E$2:$E$9,MATCH(J398,Event_Rumor!$A$2:$A$9,0)))</f>
        <v>-</v>
      </c>
    </row>
    <row r="399" spans="1:12" ht="15" customHeight="1" x14ac:dyDescent="0.3">
      <c r="A399" s="26">
        <v>45912</v>
      </c>
      <c r="B399" s="6">
        <v>17904</v>
      </c>
      <c r="C399" s="6">
        <v>17904</v>
      </c>
      <c r="D399" s="6">
        <v>17757</v>
      </c>
      <c r="E399" s="6">
        <v>17855</v>
      </c>
      <c r="F399" s="6">
        <v>7900</v>
      </c>
      <c r="G399" s="7">
        <f t="shared" ref="G399:H399" si="396">(E399-E398)/E398</f>
        <v>-2.7368185880250221E-3</v>
      </c>
      <c r="H399" s="7">
        <f t="shared" si="396"/>
        <v>-0.66806722689075626</v>
      </c>
      <c r="I399" s="8">
        <f>IF(COUNTIF(Event_Rumor!$B$2:$B$9,A399)&gt;0,1,0)</f>
        <v>0</v>
      </c>
      <c r="J399" s="8" t="str">
        <f t="array" ref="J39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399" s="8" t="str">
        <f t="array" ref="K399">IF(I399=1,"Event",IF(J399="-","Normal",IF(INDEX(Event_Rumor!$G$2:$G$9,MATCH(J399,Event_Rumor!$A$2:$A$9,0))&gt;ROW(),"Pre","Post")))</f>
        <v>Normal</v>
      </c>
      <c r="L399" s="11" t="str">
        <f t="array" ref="L399">IF(J399="-","-",INDEX(Event_Rumor!$E$2:$E$9,MATCH(J399,Event_Rumor!$A$2:$A$9,0)))</f>
        <v>-</v>
      </c>
    </row>
    <row r="400" spans="1:12" ht="15" customHeight="1" x14ac:dyDescent="0.3">
      <c r="A400" s="26">
        <v>45915</v>
      </c>
      <c r="B400" s="6">
        <v>17855</v>
      </c>
      <c r="C400" s="6">
        <v>18148</v>
      </c>
      <c r="D400" s="6">
        <v>17733</v>
      </c>
      <c r="E400" s="6">
        <v>18123</v>
      </c>
      <c r="F400" s="6">
        <v>20100</v>
      </c>
      <c r="G400" s="7">
        <f t="shared" ref="G400:H400" si="397">(E400-E399)/E399</f>
        <v>1.5009801176141136E-2</v>
      </c>
      <c r="H400" s="7">
        <f t="shared" si="397"/>
        <v>1.5443037974683544</v>
      </c>
      <c r="I400" s="8">
        <f>IF(COUNTIF(Event_Rumor!$B$2:$B$9,A400)&gt;0,1,0)</f>
        <v>0</v>
      </c>
      <c r="J400" s="8" t="str">
        <f t="array" ref="J40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0" s="8" t="str">
        <f t="array" ref="K400">IF(I400=1,"Event",IF(J400="-","Normal",IF(INDEX(Event_Rumor!$G$2:$G$9,MATCH(J400,Event_Rumor!$A$2:$A$9,0))&gt;ROW(),"Pre","Post")))</f>
        <v>Normal</v>
      </c>
      <c r="L400" s="11" t="str">
        <f t="array" ref="L400">IF(J400="-","-",INDEX(Event_Rumor!$E$2:$E$9,MATCH(J400,Event_Rumor!$A$2:$A$9,0)))</f>
        <v>-</v>
      </c>
    </row>
    <row r="401" spans="1:12" ht="15" customHeight="1" x14ac:dyDescent="0.3">
      <c r="A401" s="26">
        <v>45916</v>
      </c>
      <c r="B401" s="6">
        <v>18123</v>
      </c>
      <c r="C401" s="6">
        <v>18123</v>
      </c>
      <c r="D401" s="6">
        <v>17904</v>
      </c>
      <c r="E401" s="6">
        <v>17904</v>
      </c>
      <c r="F401" s="6">
        <v>24300</v>
      </c>
      <c r="G401" s="7">
        <f t="shared" ref="G401:H401" si="398">(E401-E400)/E400</f>
        <v>-1.2084092037742095E-2</v>
      </c>
      <c r="H401" s="7">
        <f t="shared" si="398"/>
        <v>0.20895522388059701</v>
      </c>
      <c r="I401" s="8">
        <f>IF(COUNTIF(Event_Rumor!$B$2:$B$9,A401)&gt;0,1,0)</f>
        <v>0</v>
      </c>
      <c r="J401" s="8" t="str">
        <f t="array" ref="J40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1" s="8" t="str">
        <f t="array" ref="K401">IF(I401=1,"Event",IF(J401="-","Normal",IF(INDEX(Event_Rumor!$G$2:$G$9,MATCH(J401,Event_Rumor!$A$2:$A$9,0))&gt;ROW(),"Pre","Post")))</f>
        <v>Normal</v>
      </c>
      <c r="L401" s="11" t="str">
        <f t="array" ref="L401">IF(J401="-","-",INDEX(Event_Rumor!$E$2:$E$9,MATCH(J401,Event_Rumor!$A$2:$A$9,0)))</f>
        <v>-</v>
      </c>
    </row>
    <row r="402" spans="1:12" ht="15" customHeight="1" x14ac:dyDescent="0.3">
      <c r="A402" s="26">
        <v>45917</v>
      </c>
      <c r="B402" s="6">
        <v>17952</v>
      </c>
      <c r="C402" s="6">
        <v>17977</v>
      </c>
      <c r="D402" s="6">
        <v>17660</v>
      </c>
      <c r="E402" s="6">
        <v>17977</v>
      </c>
      <c r="F402" s="6">
        <v>4800</v>
      </c>
      <c r="G402" s="7">
        <f t="shared" ref="G402:H402" si="399">(E402-E401)/E401</f>
        <v>4.0773011617515637E-3</v>
      </c>
      <c r="H402" s="7">
        <f t="shared" si="399"/>
        <v>-0.80246913580246915</v>
      </c>
      <c r="I402" s="8">
        <f>IF(COUNTIF(Event_Rumor!$B$2:$B$9,A402)&gt;0,1,0)</f>
        <v>0</v>
      </c>
      <c r="J402" s="8" t="str">
        <f t="array" ref="J40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2" s="8" t="str">
        <f t="array" ref="K402">IF(I402=1,"Event",IF(J402="-","Normal",IF(INDEX(Event_Rumor!$G$2:$G$9,MATCH(J402,Event_Rumor!$A$2:$A$9,0))&gt;ROW(),"Pre","Post")))</f>
        <v>Normal</v>
      </c>
      <c r="L402" s="11" t="str">
        <f t="array" ref="L402">IF(J402="-","-",INDEX(Event_Rumor!$E$2:$E$9,MATCH(J402,Event_Rumor!$A$2:$A$9,0)))</f>
        <v>-</v>
      </c>
    </row>
    <row r="403" spans="1:12" ht="15" customHeight="1" x14ac:dyDescent="0.3">
      <c r="A403" s="26">
        <v>45918</v>
      </c>
      <c r="B403" s="6">
        <v>17977</v>
      </c>
      <c r="C403" s="6">
        <v>18050</v>
      </c>
      <c r="D403" s="6">
        <v>17757</v>
      </c>
      <c r="E403" s="6">
        <v>17757</v>
      </c>
      <c r="F403" s="6">
        <v>37500</v>
      </c>
      <c r="G403" s="7">
        <f t="shared" ref="G403:H403" si="400">(E403-E402)/E402</f>
        <v>-1.2237859487122435E-2</v>
      </c>
      <c r="H403" s="7">
        <f t="shared" si="400"/>
        <v>6.8125</v>
      </c>
      <c r="I403" s="8">
        <f>IF(COUNTIF(Event_Rumor!$B$2:$B$9,A403)&gt;0,1,0)</f>
        <v>0</v>
      </c>
      <c r="J403" s="8" t="str">
        <f t="array" ref="J40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3" s="8" t="str">
        <f t="array" ref="K403">IF(I403=1,"Event",IF(J403="-","Normal",IF(INDEX(Event_Rumor!$G$2:$G$9,MATCH(J403,Event_Rumor!$A$2:$A$9,0))&gt;ROW(),"Pre","Post")))</f>
        <v>Normal</v>
      </c>
      <c r="L403" s="11" t="str">
        <f t="array" ref="L403">IF(J403="-","-",INDEX(Event_Rumor!$E$2:$E$9,MATCH(J403,Event_Rumor!$A$2:$A$9,0)))</f>
        <v>-</v>
      </c>
    </row>
    <row r="404" spans="1:12" ht="15" customHeight="1" x14ac:dyDescent="0.3">
      <c r="A404" s="26">
        <v>45919</v>
      </c>
      <c r="B404" s="6">
        <v>17757</v>
      </c>
      <c r="C404" s="6">
        <v>17806</v>
      </c>
      <c r="D404" s="6">
        <v>17757</v>
      </c>
      <c r="E404" s="6">
        <v>17806</v>
      </c>
      <c r="F404" s="6">
        <v>42500</v>
      </c>
      <c r="G404" s="7">
        <f t="shared" ref="G404:H404" si="401">(E404-E403)/E403</f>
        <v>2.7594751365658614E-3</v>
      </c>
      <c r="H404" s="7">
        <f t="shared" si="401"/>
        <v>0.13333333333333333</v>
      </c>
      <c r="I404" s="8">
        <f>IF(COUNTIF(Event_Rumor!$B$2:$B$9,A404)&gt;0,1,0)</f>
        <v>0</v>
      </c>
      <c r="J404" s="8" t="str">
        <f t="array" ref="J40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4" s="8" t="str">
        <f t="array" ref="K404">IF(I404=1,"Event",IF(J404="-","Normal",IF(INDEX(Event_Rumor!$G$2:$G$9,MATCH(J404,Event_Rumor!$A$2:$A$9,0))&gt;ROW(),"Pre","Post")))</f>
        <v>Normal</v>
      </c>
      <c r="L404" s="11" t="str">
        <f t="array" ref="L404">IF(J404="-","-",INDEX(Event_Rumor!$E$2:$E$9,MATCH(J404,Event_Rumor!$A$2:$A$9,0)))</f>
        <v>-</v>
      </c>
    </row>
    <row r="405" spans="1:12" ht="15" customHeight="1" x14ac:dyDescent="0.3">
      <c r="A405" s="26">
        <v>45922</v>
      </c>
      <c r="B405" s="6">
        <v>18050</v>
      </c>
      <c r="C405" s="6">
        <v>18050</v>
      </c>
      <c r="D405" s="6">
        <v>17757</v>
      </c>
      <c r="E405" s="6">
        <v>17855</v>
      </c>
      <c r="F405" s="6">
        <v>11800</v>
      </c>
      <c r="G405" s="7">
        <f t="shared" ref="G405:H405" si="402">(E405-E404)/E404</f>
        <v>2.75188138829608E-3</v>
      </c>
      <c r="H405" s="7">
        <f t="shared" si="402"/>
        <v>-0.72235294117647064</v>
      </c>
      <c r="I405" s="8">
        <f>IF(COUNTIF(Event_Rumor!$B$2:$B$9,A405)&gt;0,1,0)</f>
        <v>0</v>
      </c>
      <c r="J405" s="8" t="str">
        <f t="array" ref="J40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5" s="8" t="str">
        <f t="array" ref="K405">IF(I405=1,"Event",IF(J405="-","Normal",IF(INDEX(Event_Rumor!$G$2:$G$9,MATCH(J405,Event_Rumor!$A$2:$A$9,0))&gt;ROW(),"Pre","Post")))</f>
        <v>Normal</v>
      </c>
      <c r="L405" s="11" t="str">
        <f t="array" ref="L405">IF(J405="-","-",INDEX(Event_Rumor!$E$2:$E$9,MATCH(J405,Event_Rumor!$A$2:$A$9,0)))</f>
        <v>-</v>
      </c>
    </row>
    <row r="406" spans="1:12" ht="15" customHeight="1" x14ac:dyDescent="0.3">
      <c r="A406" s="26">
        <v>45923</v>
      </c>
      <c r="B406" s="6">
        <v>17855</v>
      </c>
      <c r="C406" s="6">
        <v>17855</v>
      </c>
      <c r="D406" s="6">
        <v>17660</v>
      </c>
      <c r="E406" s="6">
        <v>17855</v>
      </c>
      <c r="F406" s="6">
        <v>25500</v>
      </c>
      <c r="G406" s="7">
        <f t="shared" ref="G406:H406" si="403">(E406-E405)/E405</f>
        <v>0</v>
      </c>
      <c r="H406" s="7">
        <f t="shared" si="403"/>
        <v>1.1610169491525424</v>
      </c>
      <c r="I406" s="8">
        <f>IF(COUNTIF(Event_Rumor!$B$2:$B$9,A406)&gt;0,1,0)</f>
        <v>0</v>
      </c>
      <c r="J406" s="8" t="str">
        <f t="array" ref="J40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6" s="8" t="str">
        <f t="array" ref="K406">IF(I406=1,"Event",IF(J406="-","Normal",IF(INDEX(Event_Rumor!$G$2:$G$9,MATCH(J406,Event_Rumor!$A$2:$A$9,0))&gt;ROW(),"Pre","Post")))</f>
        <v>Normal</v>
      </c>
      <c r="L406" s="11" t="str">
        <f t="array" ref="L406">IF(J406="-","-",INDEX(Event_Rumor!$E$2:$E$9,MATCH(J406,Event_Rumor!$A$2:$A$9,0)))</f>
        <v>-</v>
      </c>
    </row>
    <row r="407" spans="1:12" ht="15" customHeight="1" x14ac:dyDescent="0.3">
      <c r="A407" s="26">
        <v>45924</v>
      </c>
      <c r="B407" s="6">
        <v>17830</v>
      </c>
      <c r="C407" s="6">
        <v>17855</v>
      </c>
      <c r="D407" s="6">
        <v>17733</v>
      </c>
      <c r="E407" s="6">
        <v>17855</v>
      </c>
      <c r="F407" s="6">
        <v>66800</v>
      </c>
      <c r="G407" s="7">
        <f t="shared" ref="G407:H407" si="404">(E407-E406)/E406</f>
        <v>0</v>
      </c>
      <c r="H407" s="7">
        <f t="shared" si="404"/>
        <v>1.6196078431372549</v>
      </c>
      <c r="I407" s="8">
        <f>IF(COUNTIF(Event_Rumor!$B$2:$B$9,A407)&gt;0,1,0)</f>
        <v>0</v>
      </c>
      <c r="J407" s="8" t="str">
        <f t="array" ref="J40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7" s="8" t="str">
        <f t="array" ref="K407">IF(I407=1,"Event",IF(J407="-","Normal",IF(INDEX(Event_Rumor!$G$2:$G$9,MATCH(J407,Event_Rumor!$A$2:$A$9,0))&gt;ROW(),"Pre","Post")))</f>
        <v>Normal</v>
      </c>
      <c r="L407" s="11" t="str">
        <f t="array" ref="L407">IF(J407="-","-",INDEX(Event_Rumor!$E$2:$E$9,MATCH(J407,Event_Rumor!$A$2:$A$9,0)))</f>
        <v>-</v>
      </c>
    </row>
    <row r="408" spans="1:12" ht="15" customHeight="1" x14ac:dyDescent="0.3">
      <c r="A408" s="26">
        <v>45925</v>
      </c>
      <c r="B408" s="6">
        <v>17855</v>
      </c>
      <c r="C408" s="6">
        <v>17855</v>
      </c>
      <c r="D408" s="6">
        <v>17757</v>
      </c>
      <c r="E408" s="6">
        <v>17806</v>
      </c>
      <c r="F408" s="6">
        <v>8100</v>
      </c>
      <c r="G408" s="7">
        <f t="shared" ref="G408:H408" si="405">(E408-E407)/E407</f>
        <v>-2.7443293195183421E-3</v>
      </c>
      <c r="H408" s="7">
        <f t="shared" si="405"/>
        <v>-0.87874251497005984</v>
      </c>
      <c r="I408" s="8">
        <f>IF(COUNTIF(Event_Rumor!$B$2:$B$9,A408)&gt;0,1,0)</f>
        <v>0</v>
      </c>
      <c r="J408" s="8" t="str">
        <f t="array" ref="J40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8" s="8" t="str">
        <f t="array" ref="K408">IF(I408=1,"Event",IF(J408="-","Normal",IF(INDEX(Event_Rumor!$G$2:$G$9,MATCH(J408,Event_Rumor!$A$2:$A$9,0))&gt;ROW(),"Pre","Post")))</f>
        <v>Normal</v>
      </c>
      <c r="L408" s="11" t="str">
        <f t="array" ref="L408">IF(J408="-","-",INDEX(Event_Rumor!$E$2:$E$9,MATCH(J408,Event_Rumor!$A$2:$A$9,0)))</f>
        <v>-</v>
      </c>
    </row>
    <row r="409" spans="1:12" ht="15" customHeight="1" x14ac:dyDescent="0.3">
      <c r="A409" s="26">
        <v>45926</v>
      </c>
      <c r="B409" s="6">
        <v>17830</v>
      </c>
      <c r="C409" s="6">
        <v>17855</v>
      </c>
      <c r="D409" s="6">
        <v>17660</v>
      </c>
      <c r="E409" s="6">
        <v>17855</v>
      </c>
      <c r="F409" s="6">
        <v>45900</v>
      </c>
      <c r="G409" s="7">
        <f t="shared" ref="G409:H409" si="406">(E409-E408)/E408</f>
        <v>2.75188138829608E-3</v>
      </c>
      <c r="H409" s="7">
        <f t="shared" si="406"/>
        <v>4.666666666666667</v>
      </c>
      <c r="I409" s="8">
        <f>IF(COUNTIF(Event_Rumor!$B$2:$B$9,A409)&gt;0,1,0)</f>
        <v>0</v>
      </c>
      <c r="J409" s="8" t="str">
        <f t="array" ref="J40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09" s="8" t="str">
        <f t="array" ref="K409">IF(I409=1,"Event",IF(J409="-","Normal",IF(INDEX(Event_Rumor!$G$2:$G$9,MATCH(J409,Event_Rumor!$A$2:$A$9,0))&gt;ROW(),"Pre","Post")))</f>
        <v>Normal</v>
      </c>
      <c r="L409" s="11" t="str">
        <f t="array" ref="L409">IF(J409="-","-",INDEX(Event_Rumor!$E$2:$E$9,MATCH(J409,Event_Rumor!$A$2:$A$9,0)))</f>
        <v>-</v>
      </c>
    </row>
    <row r="410" spans="1:12" ht="15" customHeight="1" x14ac:dyDescent="0.3">
      <c r="A410" s="26">
        <v>45929</v>
      </c>
      <c r="B410" s="6">
        <v>17879</v>
      </c>
      <c r="C410" s="6">
        <v>17904</v>
      </c>
      <c r="D410" s="6">
        <v>17855</v>
      </c>
      <c r="E410" s="6">
        <v>17855</v>
      </c>
      <c r="F410" s="6">
        <v>24700</v>
      </c>
      <c r="G410" s="7">
        <f t="shared" ref="G410:H410" si="407">(E410-E409)/E409</f>
        <v>0</v>
      </c>
      <c r="H410" s="7">
        <f t="shared" si="407"/>
        <v>-0.46187363834422657</v>
      </c>
      <c r="I410" s="8">
        <f>IF(COUNTIF(Event_Rumor!$B$2:$B$9,A410)&gt;0,1,0)</f>
        <v>0</v>
      </c>
      <c r="J410" s="8" t="str">
        <f t="array" ref="J4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0" s="8" t="str">
        <f t="array" ref="K410">IF(I410=1,"Event",IF(J410="-","Normal",IF(INDEX(Event_Rumor!$G$2:$G$9,MATCH(J410,Event_Rumor!$A$2:$A$9,0))&gt;ROW(),"Pre","Post")))</f>
        <v>Normal</v>
      </c>
      <c r="L410" s="11" t="str">
        <f t="array" ref="L410">IF(J410="-","-",INDEX(Event_Rumor!$E$2:$E$9,MATCH(J410,Event_Rumor!$A$2:$A$9,0)))</f>
        <v>-</v>
      </c>
    </row>
    <row r="411" spans="1:12" ht="15" customHeight="1" x14ac:dyDescent="0.3">
      <c r="A411" s="26">
        <v>45930</v>
      </c>
      <c r="B411" s="6">
        <v>17855</v>
      </c>
      <c r="C411" s="6">
        <v>17904</v>
      </c>
      <c r="D411" s="6">
        <v>17708</v>
      </c>
      <c r="E411" s="6">
        <v>17855</v>
      </c>
      <c r="F411" s="6">
        <v>36400</v>
      </c>
      <c r="G411" s="7">
        <f t="shared" ref="G411:H411" si="408">(E411-E410)/E410</f>
        <v>0</v>
      </c>
      <c r="H411" s="7">
        <f t="shared" si="408"/>
        <v>0.47368421052631576</v>
      </c>
      <c r="I411" s="8">
        <f>IF(COUNTIF(Event_Rumor!$B$2:$B$9,A411)&gt;0,1,0)</f>
        <v>0</v>
      </c>
      <c r="J411" s="8" t="str">
        <f t="array" ref="J4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1" s="8" t="str">
        <f t="array" ref="K411">IF(I411=1,"Event",IF(J411="-","Normal",IF(INDEX(Event_Rumor!$G$2:$G$9,MATCH(J411,Event_Rumor!$A$2:$A$9,0))&gt;ROW(),"Pre","Post")))</f>
        <v>Normal</v>
      </c>
      <c r="L411" s="11" t="str">
        <f t="array" ref="L411">IF(J411="-","-",INDEX(Event_Rumor!$E$2:$E$9,MATCH(J411,Event_Rumor!$A$2:$A$9,0)))</f>
        <v>-</v>
      </c>
    </row>
    <row r="412" spans="1:12" ht="15" customHeight="1" x14ac:dyDescent="0.3">
      <c r="A412" s="26">
        <v>45931</v>
      </c>
      <c r="B412" s="6">
        <v>17830</v>
      </c>
      <c r="C412" s="6">
        <v>17855</v>
      </c>
      <c r="D412" s="6">
        <v>17660</v>
      </c>
      <c r="E412" s="6">
        <v>17855</v>
      </c>
      <c r="F412" s="6">
        <v>32800</v>
      </c>
      <c r="G412" s="7">
        <f t="shared" ref="G412:H412" si="409">(E412-E411)/E411</f>
        <v>0</v>
      </c>
      <c r="H412" s="7">
        <f t="shared" si="409"/>
        <v>-9.8901098901098897E-2</v>
      </c>
      <c r="I412" s="8">
        <f>IF(COUNTIF(Event_Rumor!$B$2:$B$9,A412)&gt;0,1,0)</f>
        <v>0</v>
      </c>
      <c r="J412" s="8" t="str">
        <f t="array" ref="J4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2" s="8" t="str">
        <f t="array" ref="K412">IF(I412=1,"Event",IF(J412="-","Normal",IF(INDEX(Event_Rumor!$G$2:$G$9,MATCH(J412,Event_Rumor!$A$2:$A$9,0))&gt;ROW(),"Pre","Post")))</f>
        <v>Normal</v>
      </c>
      <c r="L412" s="11" t="str">
        <f t="array" ref="L412">IF(J412="-","-",INDEX(Event_Rumor!$E$2:$E$9,MATCH(J412,Event_Rumor!$A$2:$A$9,0)))</f>
        <v>-</v>
      </c>
    </row>
    <row r="413" spans="1:12" ht="15" customHeight="1" x14ac:dyDescent="0.3">
      <c r="A413" s="26">
        <v>45932</v>
      </c>
      <c r="B413" s="6">
        <v>17855</v>
      </c>
      <c r="C413" s="6">
        <v>17855</v>
      </c>
      <c r="D413" s="6">
        <v>17587</v>
      </c>
      <c r="E413" s="6">
        <v>17757</v>
      </c>
      <c r="F413" s="6">
        <v>9300</v>
      </c>
      <c r="G413" s="7">
        <f t="shared" ref="G413:H413" si="410">(E413-E412)/E412</f>
        <v>-5.4886586390366842E-3</v>
      </c>
      <c r="H413" s="7">
        <f t="shared" si="410"/>
        <v>-0.71646341463414631</v>
      </c>
      <c r="I413" s="8">
        <f>IF(COUNTIF(Event_Rumor!$B$2:$B$9,A413)&gt;0,1,0)</f>
        <v>0</v>
      </c>
      <c r="J413" s="8" t="str">
        <f t="array" ref="J4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3" s="8" t="str">
        <f t="array" ref="K413">IF(I413=1,"Event",IF(J413="-","Normal",IF(INDEX(Event_Rumor!$G$2:$G$9,MATCH(J413,Event_Rumor!$A$2:$A$9,0))&gt;ROW(),"Pre","Post")))</f>
        <v>Normal</v>
      </c>
      <c r="L413" s="11" t="str">
        <f t="array" ref="L413">IF(J413="-","-",INDEX(Event_Rumor!$E$2:$E$9,MATCH(J413,Event_Rumor!$A$2:$A$9,0)))</f>
        <v>-</v>
      </c>
    </row>
    <row r="414" spans="1:12" ht="15" customHeight="1" x14ac:dyDescent="0.3">
      <c r="A414" s="26">
        <v>45933</v>
      </c>
      <c r="B414" s="6">
        <v>17757</v>
      </c>
      <c r="C414" s="6">
        <v>17904</v>
      </c>
      <c r="D414" s="6">
        <v>17757</v>
      </c>
      <c r="E414" s="6">
        <v>17855</v>
      </c>
      <c r="F414" s="6">
        <v>34500</v>
      </c>
      <c r="G414" s="7">
        <f t="shared" ref="G414:H414" si="411">(E414-E413)/E413</f>
        <v>5.5189502731317229E-3</v>
      </c>
      <c r="H414" s="7">
        <f t="shared" si="411"/>
        <v>2.7096774193548385</v>
      </c>
      <c r="I414" s="8">
        <f>IF(COUNTIF(Event_Rumor!$B$2:$B$9,A414)&gt;0,1,0)</f>
        <v>0</v>
      </c>
      <c r="J414" s="8" t="str">
        <f t="array" ref="J4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4" s="8" t="str">
        <f t="array" ref="K414">IF(I414=1,"Event",IF(J414="-","Normal",IF(INDEX(Event_Rumor!$G$2:$G$9,MATCH(J414,Event_Rumor!$A$2:$A$9,0))&gt;ROW(),"Pre","Post")))</f>
        <v>Normal</v>
      </c>
      <c r="L414" s="11" t="str">
        <f t="array" ref="L414">IF(J414="-","-",INDEX(Event_Rumor!$E$2:$E$9,MATCH(J414,Event_Rumor!$A$2:$A$9,0)))</f>
        <v>-</v>
      </c>
    </row>
    <row r="415" spans="1:12" ht="15" customHeight="1" x14ac:dyDescent="0.3">
      <c r="A415" s="26">
        <v>45936</v>
      </c>
      <c r="B415" s="6">
        <v>17855</v>
      </c>
      <c r="C415" s="6">
        <v>17855</v>
      </c>
      <c r="D415" s="6">
        <v>17513</v>
      </c>
      <c r="E415" s="6">
        <v>17855</v>
      </c>
      <c r="F415" s="6">
        <v>74200</v>
      </c>
      <c r="G415" s="7">
        <f t="shared" ref="G415:H415" si="412">(E415-E414)/E414</f>
        <v>0</v>
      </c>
      <c r="H415" s="7">
        <f t="shared" si="412"/>
        <v>1.1507246376811595</v>
      </c>
      <c r="I415" s="8">
        <f>IF(COUNTIF(Event_Rumor!$B$2:$B$9,A415)&gt;0,1,0)</f>
        <v>0</v>
      </c>
      <c r="J415" s="8" t="str">
        <f t="array" ref="J4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5" s="8" t="str">
        <f t="array" ref="K415">IF(I415=1,"Event",IF(J415="-","Normal",IF(INDEX(Event_Rumor!$G$2:$G$9,MATCH(J415,Event_Rumor!$A$2:$A$9,0))&gt;ROW(),"Pre","Post")))</f>
        <v>Normal</v>
      </c>
      <c r="L415" s="11" t="str">
        <f t="array" ref="L415">IF(J415="-","-",INDEX(Event_Rumor!$E$2:$E$9,MATCH(J415,Event_Rumor!$A$2:$A$9,0)))</f>
        <v>-</v>
      </c>
    </row>
    <row r="416" spans="1:12" ht="15" customHeight="1" x14ac:dyDescent="0.3">
      <c r="A416" s="26">
        <v>45937</v>
      </c>
      <c r="B416" s="6">
        <v>17855</v>
      </c>
      <c r="C416" s="6">
        <v>17855</v>
      </c>
      <c r="D416" s="6">
        <v>17708</v>
      </c>
      <c r="E416" s="6">
        <v>17757</v>
      </c>
      <c r="F416" s="6">
        <v>13300</v>
      </c>
      <c r="G416" s="7">
        <f t="shared" ref="G416:H416" si="413">(E416-E415)/E415</f>
        <v>-5.4886586390366842E-3</v>
      </c>
      <c r="H416" s="7">
        <f t="shared" si="413"/>
        <v>-0.82075471698113212</v>
      </c>
      <c r="I416" s="8">
        <f>IF(COUNTIF(Event_Rumor!$B$2:$B$9,A416)&gt;0,1,0)</f>
        <v>0</v>
      </c>
      <c r="J416" s="8" t="str">
        <f t="array" ref="J4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6" s="8" t="str">
        <f t="array" ref="K416">IF(I416=1,"Event",IF(J416="-","Normal",IF(INDEX(Event_Rumor!$G$2:$G$9,MATCH(J416,Event_Rumor!$A$2:$A$9,0))&gt;ROW(),"Pre","Post")))</f>
        <v>Normal</v>
      </c>
      <c r="L416" s="11" t="str">
        <f t="array" ref="L416">IF(J416="-","-",INDEX(Event_Rumor!$E$2:$E$9,MATCH(J416,Event_Rumor!$A$2:$A$9,0)))</f>
        <v>-</v>
      </c>
    </row>
    <row r="417" spans="1:12" ht="15" customHeight="1" x14ac:dyDescent="0.3">
      <c r="A417" s="26">
        <v>45938</v>
      </c>
      <c r="B417" s="6">
        <v>17757</v>
      </c>
      <c r="C417" s="6">
        <v>17757</v>
      </c>
      <c r="D417" s="6">
        <v>17562</v>
      </c>
      <c r="E417" s="6">
        <v>17587</v>
      </c>
      <c r="F417" s="6">
        <v>19500</v>
      </c>
      <c r="G417" s="7">
        <f t="shared" ref="G417:H417" si="414">(E417-E416)/E416</f>
        <v>-9.5736892493101314E-3</v>
      </c>
      <c r="H417" s="7">
        <f t="shared" si="414"/>
        <v>0.46616541353383456</v>
      </c>
      <c r="I417" s="8">
        <f>IF(COUNTIF(Event_Rumor!$B$2:$B$9,A417)&gt;0,1,0)</f>
        <v>0</v>
      </c>
      <c r="J417" s="8" t="str">
        <f t="array" ref="J4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7" s="8" t="str">
        <f t="array" ref="K417">IF(I417=1,"Event",IF(J417="-","Normal",IF(INDEX(Event_Rumor!$G$2:$G$9,MATCH(J417,Event_Rumor!$A$2:$A$9,0))&gt;ROW(),"Pre","Post")))</f>
        <v>Normal</v>
      </c>
      <c r="L417" s="11" t="str">
        <f t="array" ref="L417">IF(J417="-","-",INDEX(Event_Rumor!$E$2:$E$9,MATCH(J417,Event_Rumor!$A$2:$A$9,0)))</f>
        <v>-</v>
      </c>
    </row>
    <row r="418" spans="1:12" ht="15" customHeight="1" x14ac:dyDescent="0.3">
      <c r="A418" s="26">
        <v>45939</v>
      </c>
      <c r="B418" s="6">
        <v>17611</v>
      </c>
      <c r="C418" s="6">
        <v>17757</v>
      </c>
      <c r="D418" s="6">
        <v>17562</v>
      </c>
      <c r="E418" s="6">
        <v>17757</v>
      </c>
      <c r="F418" s="6">
        <v>17600</v>
      </c>
      <c r="G418" s="7">
        <f t="shared" ref="G418:H418" si="415">(E418-E417)/E417</f>
        <v>9.6662307386137496E-3</v>
      </c>
      <c r="H418" s="7">
        <f t="shared" si="415"/>
        <v>-9.7435897435897437E-2</v>
      </c>
      <c r="I418" s="8">
        <f>IF(COUNTIF(Event_Rumor!$B$2:$B$9,A418)&gt;0,1,0)</f>
        <v>0</v>
      </c>
      <c r="J418" s="8" t="str">
        <f t="array" ref="J4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8" s="8" t="str">
        <f t="array" ref="K418">IF(I418=1,"Event",IF(J418="-","Normal",IF(INDEX(Event_Rumor!$G$2:$G$9,MATCH(J418,Event_Rumor!$A$2:$A$9,0))&gt;ROW(),"Pre","Post")))</f>
        <v>Normal</v>
      </c>
      <c r="L418" s="11" t="str">
        <f t="array" ref="L418">IF(J418="-","-",INDEX(Event_Rumor!$E$2:$E$9,MATCH(J418,Event_Rumor!$A$2:$A$9,0)))</f>
        <v>-</v>
      </c>
    </row>
    <row r="419" spans="1:12" ht="15" customHeight="1" x14ac:dyDescent="0.3">
      <c r="A419" s="26">
        <v>45940</v>
      </c>
      <c r="B419" s="6">
        <v>17757</v>
      </c>
      <c r="C419" s="6">
        <v>17855</v>
      </c>
      <c r="D419" s="6">
        <v>17635</v>
      </c>
      <c r="E419" s="6">
        <v>17855</v>
      </c>
      <c r="F419" s="6">
        <v>13000</v>
      </c>
      <c r="G419" s="7">
        <f t="shared" ref="G419:H419" si="416">(E419-E418)/E418</f>
        <v>5.5189502731317229E-3</v>
      </c>
      <c r="H419" s="7">
        <f t="shared" si="416"/>
        <v>-0.26136363636363635</v>
      </c>
      <c r="I419" s="8">
        <f>IF(COUNTIF(Event_Rumor!$B$2:$B$9,A419)&gt;0,1,0)</f>
        <v>0</v>
      </c>
      <c r="J419" s="8" t="str">
        <f t="array" ref="J4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19" s="8" t="str">
        <f t="array" ref="K419">IF(I419=1,"Event",IF(J419="-","Normal",IF(INDEX(Event_Rumor!$G$2:$G$9,MATCH(J419,Event_Rumor!$A$2:$A$9,0))&gt;ROW(),"Pre","Post")))</f>
        <v>Normal</v>
      </c>
      <c r="L419" s="11" t="str">
        <f t="array" ref="L419">IF(J419="-","-",INDEX(Event_Rumor!$E$2:$E$9,MATCH(J419,Event_Rumor!$A$2:$A$9,0)))</f>
        <v>-</v>
      </c>
    </row>
    <row r="420" spans="1:12" ht="15" customHeight="1" x14ac:dyDescent="0.3">
      <c r="A420" s="26">
        <v>45943</v>
      </c>
      <c r="B420" s="6">
        <v>17855</v>
      </c>
      <c r="C420" s="6">
        <v>17855</v>
      </c>
      <c r="D420" s="6">
        <v>17465</v>
      </c>
      <c r="E420" s="6">
        <v>17733</v>
      </c>
      <c r="F420" s="6">
        <v>44400</v>
      </c>
      <c r="G420" s="7">
        <f t="shared" ref="G420:H420" si="417">(E420-E419)/E419</f>
        <v>-6.8328199383926071E-3</v>
      </c>
      <c r="H420" s="7">
        <f t="shared" si="417"/>
        <v>2.4153846153846152</v>
      </c>
      <c r="I420" s="8">
        <f>IF(COUNTIF(Event_Rumor!$B$2:$B$9,A420)&gt;0,1,0)</f>
        <v>0</v>
      </c>
      <c r="J420" s="8" t="str">
        <f t="array" ref="J4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0" s="8" t="str">
        <f t="array" ref="K420">IF(I420=1,"Event",IF(J420="-","Normal",IF(INDEX(Event_Rumor!$G$2:$G$9,MATCH(J420,Event_Rumor!$A$2:$A$9,0))&gt;ROW(),"Pre","Post")))</f>
        <v>Normal</v>
      </c>
      <c r="L420" s="11" t="str">
        <f t="array" ref="L420">IF(J420="-","-",INDEX(Event_Rumor!$E$2:$E$9,MATCH(J420,Event_Rumor!$A$2:$A$9,0)))</f>
        <v>-</v>
      </c>
    </row>
    <row r="421" spans="1:12" ht="15" customHeight="1" x14ac:dyDescent="0.3">
      <c r="A421" s="26">
        <v>45944</v>
      </c>
      <c r="B421" s="6">
        <v>17733</v>
      </c>
      <c r="C421" s="6">
        <v>17806</v>
      </c>
      <c r="D421" s="6">
        <v>17538</v>
      </c>
      <c r="E421" s="6">
        <v>17611</v>
      </c>
      <c r="F421" s="6">
        <v>55400</v>
      </c>
      <c r="G421" s="7">
        <f t="shared" ref="G421:H421" si="418">(E421-E420)/E420</f>
        <v>-6.8798285682061689E-3</v>
      </c>
      <c r="H421" s="7">
        <f t="shared" si="418"/>
        <v>0.24774774774774774</v>
      </c>
      <c r="I421" s="8">
        <f>IF(COUNTIF(Event_Rumor!$B$2:$B$9,A421)&gt;0,1,0)</f>
        <v>0</v>
      </c>
      <c r="J421" s="8" t="str">
        <f t="array" ref="J4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1" s="8" t="str">
        <f t="array" ref="K421">IF(I421=1,"Event",IF(J421="-","Normal",IF(INDEX(Event_Rumor!$G$2:$G$9,MATCH(J421,Event_Rumor!$A$2:$A$9,0))&gt;ROW(),"Pre","Post")))</f>
        <v>Normal</v>
      </c>
      <c r="L421" s="11" t="str">
        <f t="array" ref="L421">IF(J421="-","-",INDEX(Event_Rumor!$E$2:$E$9,MATCH(J421,Event_Rumor!$A$2:$A$9,0)))</f>
        <v>-</v>
      </c>
    </row>
    <row r="422" spans="1:12" ht="15" customHeight="1" x14ac:dyDescent="0.3">
      <c r="A422" s="26">
        <v>45945</v>
      </c>
      <c r="B422" s="6">
        <v>17611</v>
      </c>
      <c r="C422" s="6">
        <v>17806</v>
      </c>
      <c r="D422" s="6">
        <v>17465</v>
      </c>
      <c r="E422" s="6">
        <v>17611</v>
      </c>
      <c r="F422" s="6">
        <v>17600</v>
      </c>
      <c r="G422" s="7">
        <f t="shared" ref="G422:H422" si="419">(E422-E421)/E421</f>
        <v>0</v>
      </c>
      <c r="H422" s="7">
        <f t="shared" si="419"/>
        <v>-0.68231046931407946</v>
      </c>
      <c r="I422" s="8">
        <f>IF(COUNTIF(Event_Rumor!$B$2:$B$9,A422)&gt;0,1,0)</f>
        <v>0</v>
      </c>
      <c r="J422" s="8" t="str">
        <f t="array" ref="J4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2" s="8" t="str">
        <f t="array" ref="K422">IF(I422=1,"Event",IF(J422="-","Normal",IF(INDEX(Event_Rumor!$G$2:$G$9,MATCH(J422,Event_Rumor!$A$2:$A$9,0))&gt;ROW(),"Pre","Post")))</f>
        <v>Normal</v>
      </c>
      <c r="L422" s="11" t="str">
        <f t="array" ref="L422">IF(J422="-","-",INDEX(Event_Rumor!$E$2:$E$9,MATCH(J422,Event_Rumor!$A$2:$A$9,0)))</f>
        <v>-</v>
      </c>
    </row>
    <row r="423" spans="1:12" ht="15" customHeight="1" x14ac:dyDescent="0.3">
      <c r="A423" s="26">
        <v>45946</v>
      </c>
      <c r="B423" s="6">
        <v>17611</v>
      </c>
      <c r="C423" s="6">
        <v>17757</v>
      </c>
      <c r="D423" s="6">
        <v>17416</v>
      </c>
      <c r="E423" s="6">
        <v>17708</v>
      </c>
      <c r="F423" s="6">
        <v>51400</v>
      </c>
      <c r="G423" s="7">
        <f t="shared" ref="G423:H423" si="420">(E423-E422)/E422</f>
        <v>5.5079211856226221E-3</v>
      </c>
      <c r="H423" s="7">
        <f t="shared" si="420"/>
        <v>1.9204545454545454</v>
      </c>
      <c r="I423" s="8">
        <f>IF(COUNTIF(Event_Rumor!$B$2:$B$9,A423)&gt;0,1,0)</f>
        <v>0</v>
      </c>
      <c r="J423" s="8" t="str">
        <f t="array" ref="J4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3" s="8" t="str">
        <f t="array" ref="K423">IF(I423=1,"Event",IF(J423="-","Normal",IF(INDEX(Event_Rumor!$G$2:$G$9,MATCH(J423,Event_Rumor!$A$2:$A$9,0))&gt;ROW(),"Pre","Post")))</f>
        <v>Normal</v>
      </c>
      <c r="L423" s="11" t="str">
        <f t="array" ref="L423">IF(J423="-","-",INDEX(Event_Rumor!$E$2:$E$9,MATCH(J423,Event_Rumor!$A$2:$A$9,0)))</f>
        <v>-</v>
      </c>
    </row>
    <row r="424" spans="1:12" ht="15" customHeight="1" x14ac:dyDescent="0.3">
      <c r="A424" s="26">
        <v>45947</v>
      </c>
      <c r="B424" s="6">
        <v>17562</v>
      </c>
      <c r="C424" s="6">
        <v>17757</v>
      </c>
      <c r="D424" s="6">
        <v>17465</v>
      </c>
      <c r="E424" s="6">
        <v>17708</v>
      </c>
      <c r="F424" s="6">
        <v>21600</v>
      </c>
      <c r="G424" s="7">
        <f t="shared" ref="G424:H424" si="421">(E424-E423)/E423</f>
        <v>0</v>
      </c>
      <c r="H424" s="7">
        <f t="shared" si="421"/>
        <v>-0.57976653696498059</v>
      </c>
      <c r="I424" s="8">
        <f>IF(COUNTIF(Event_Rumor!$B$2:$B$9,A424)&gt;0,1,0)</f>
        <v>0</v>
      </c>
      <c r="J424" s="8" t="str">
        <f t="array" ref="J4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4" s="8" t="str">
        <f t="array" ref="K424">IF(I424=1,"Event",IF(J424="-","Normal",IF(INDEX(Event_Rumor!$G$2:$G$9,MATCH(J424,Event_Rumor!$A$2:$A$9,0))&gt;ROW(),"Pre","Post")))</f>
        <v>Normal</v>
      </c>
      <c r="L424" s="11" t="str">
        <f t="array" ref="L424">IF(J424="-","-",INDEX(Event_Rumor!$E$2:$E$9,MATCH(J424,Event_Rumor!$A$2:$A$9,0)))</f>
        <v>-</v>
      </c>
    </row>
    <row r="425" spans="1:12" ht="15" customHeight="1" x14ac:dyDescent="0.3">
      <c r="A425" s="26">
        <v>45950</v>
      </c>
      <c r="B425" s="6">
        <v>17708</v>
      </c>
      <c r="C425" s="6">
        <v>17855</v>
      </c>
      <c r="D425" s="6">
        <v>17562</v>
      </c>
      <c r="E425" s="6">
        <v>17587</v>
      </c>
      <c r="F425" s="6">
        <v>27500</v>
      </c>
      <c r="G425" s="7">
        <f t="shared" ref="G425:H425" si="422">(E425-E424)/E424</f>
        <v>-6.8330697989609215E-3</v>
      </c>
      <c r="H425" s="7">
        <f t="shared" si="422"/>
        <v>0.27314814814814814</v>
      </c>
      <c r="I425" s="8">
        <f>IF(COUNTIF(Event_Rumor!$B$2:$B$9,A425)&gt;0,1,0)</f>
        <v>0</v>
      </c>
      <c r="J425" s="8" t="str">
        <f t="array" ref="J4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5" s="8" t="str">
        <f t="array" ref="K425">IF(I425=1,"Event",IF(J425="-","Normal",IF(INDEX(Event_Rumor!$G$2:$G$9,MATCH(J425,Event_Rumor!$A$2:$A$9,0))&gt;ROW(),"Pre","Post")))</f>
        <v>Normal</v>
      </c>
      <c r="L425" s="11" t="str">
        <f t="array" ref="L425">IF(J425="-","-",INDEX(Event_Rumor!$E$2:$E$9,MATCH(J425,Event_Rumor!$A$2:$A$9,0)))</f>
        <v>-</v>
      </c>
    </row>
    <row r="426" spans="1:12" ht="15" customHeight="1" x14ac:dyDescent="0.3">
      <c r="A426" s="26">
        <v>45951</v>
      </c>
      <c r="B426" s="6">
        <v>17587</v>
      </c>
      <c r="C426" s="6">
        <v>17684</v>
      </c>
      <c r="D426" s="6">
        <v>17465</v>
      </c>
      <c r="E426" s="6">
        <v>17660</v>
      </c>
      <c r="F426" s="6">
        <v>54400</v>
      </c>
      <c r="G426" s="7">
        <f t="shared" ref="G426:H426" si="423">(E426-E425)/E425</f>
        <v>4.1507931995223742E-3</v>
      </c>
      <c r="H426" s="7">
        <f t="shared" si="423"/>
        <v>0.97818181818181815</v>
      </c>
      <c r="I426" s="8">
        <f>IF(COUNTIF(Event_Rumor!$B$2:$B$9,A426)&gt;0,1,0)</f>
        <v>0</v>
      </c>
      <c r="J426" s="8" t="str">
        <f t="array" ref="J4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6" s="8" t="str">
        <f t="array" ref="K426">IF(I426=1,"Event",IF(J426="-","Normal",IF(INDEX(Event_Rumor!$G$2:$G$9,MATCH(J426,Event_Rumor!$A$2:$A$9,0))&gt;ROW(),"Pre","Post")))</f>
        <v>Normal</v>
      </c>
      <c r="L426" s="11" t="str">
        <f t="array" ref="L426">IF(J426="-","-",INDEX(Event_Rumor!$E$2:$E$9,MATCH(J426,Event_Rumor!$A$2:$A$9,0)))</f>
        <v>-</v>
      </c>
    </row>
    <row r="427" spans="1:12" ht="15" customHeight="1" x14ac:dyDescent="0.3">
      <c r="A427" s="26">
        <v>45952</v>
      </c>
      <c r="B427" s="6">
        <v>17708</v>
      </c>
      <c r="C427" s="6">
        <v>17733</v>
      </c>
      <c r="D427" s="6">
        <v>17611</v>
      </c>
      <c r="E427" s="6">
        <v>17611</v>
      </c>
      <c r="F427" s="6">
        <v>9600</v>
      </c>
      <c r="G427" s="7">
        <f t="shared" ref="G427:H427" si="424">(E427-E426)/E426</f>
        <v>-2.7746319365798415E-3</v>
      </c>
      <c r="H427" s="7">
        <f t="shared" si="424"/>
        <v>-0.82352941176470584</v>
      </c>
      <c r="I427" s="8">
        <f>IF(COUNTIF(Event_Rumor!$B$2:$B$9,A427)&gt;0,1,0)</f>
        <v>0</v>
      </c>
      <c r="J427" s="8" t="str">
        <f t="array" ref="J4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7" s="8" t="str">
        <f t="array" ref="K427">IF(I427=1,"Event",IF(J427="-","Normal",IF(INDEX(Event_Rumor!$G$2:$G$9,MATCH(J427,Event_Rumor!$A$2:$A$9,0))&gt;ROW(),"Pre","Post")))</f>
        <v>Normal</v>
      </c>
      <c r="L427" s="11" t="str">
        <f t="array" ref="L427">IF(J427="-","-",INDEX(Event_Rumor!$E$2:$E$9,MATCH(J427,Event_Rumor!$A$2:$A$9,0)))</f>
        <v>-</v>
      </c>
    </row>
    <row r="428" spans="1:12" ht="15" customHeight="1" x14ac:dyDescent="0.3">
      <c r="A428" s="26">
        <v>45953</v>
      </c>
      <c r="B428" s="6">
        <v>17635</v>
      </c>
      <c r="C428" s="6">
        <v>17660</v>
      </c>
      <c r="D428" s="6">
        <v>17611</v>
      </c>
      <c r="E428" s="6">
        <v>17611</v>
      </c>
      <c r="F428" s="6">
        <v>14400</v>
      </c>
      <c r="G428" s="7">
        <f t="shared" ref="G428:H428" si="425">(E428-E427)/E427</f>
        <v>0</v>
      </c>
      <c r="H428" s="7">
        <f t="shared" si="425"/>
        <v>0.5</v>
      </c>
      <c r="I428" s="8">
        <f>IF(COUNTIF(Event_Rumor!$B$2:$B$9,A428)&gt;0,1,0)</f>
        <v>0</v>
      </c>
      <c r="J428" s="8" t="str">
        <f t="array" ref="J4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8" s="8" t="str">
        <f t="array" ref="K428">IF(I428=1,"Event",IF(J428="-","Normal",IF(INDEX(Event_Rumor!$G$2:$G$9,MATCH(J428,Event_Rumor!$A$2:$A$9,0))&gt;ROW(),"Pre","Post")))</f>
        <v>Normal</v>
      </c>
      <c r="L428" s="11" t="str">
        <f t="array" ref="L428">IF(J428="-","-",INDEX(Event_Rumor!$E$2:$E$9,MATCH(J428,Event_Rumor!$A$2:$A$9,0)))</f>
        <v>-</v>
      </c>
    </row>
    <row r="429" spans="1:12" ht="15" customHeight="1" x14ac:dyDescent="0.3">
      <c r="A429" s="26">
        <v>45954</v>
      </c>
      <c r="B429" s="6">
        <v>17611</v>
      </c>
      <c r="C429" s="6">
        <v>17855</v>
      </c>
      <c r="D429" s="6">
        <v>17611</v>
      </c>
      <c r="E429" s="6">
        <v>17757</v>
      </c>
      <c r="F429" s="6">
        <v>12000</v>
      </c>
      <c r="G429" s="7">
        <f t="shared" ref="G429:H429" si="426">(E429-E428)/E428</f>
        <v>8.2902731247515762E-3</v>
      </c>
      <c r="H429" s="7">
        <f t="shared" si="426"/>
        <v>-0.16666666666666666</v>
      </c>
      <c r="I429" s="8">
        <f>IF(COUNTIF(Event_Rumor!$B$2:$B$9,A429)&gt;0,1,0)</f>
        <v>0</v>
      </c>
      <c r="J429" s="8" t="str">
        <f t="array" ref="J4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29" s="8" t="str">
        <f t="array" ref="K429">IF(I429=1,"Event",IF(J429="-","Normal",IF(INDEX(Event_Rumor!$G$2:$G$9,MATCH(J429,Event_Rumor!$A$2:$A$9,0))&gt;ROW(),"Pre","Post")))</f>
        <v>Normal</v>
      </c>
      <c r="L429" s="11" t="str">
        <f t="array" ref="L429">IF(J429="-","-",INDEX(Event_Rumor!$E$2:$E$9,MATCH(J429,Event_Rumor!$A$2:$A$9,0)))</f>
        <v>-</v>
      </c>
    </row>
    <row r="430" spans="1:12" ht="15" customHeight="1" x14ac:dyDescent="0.3">
      <c r="A430" s="26">
        <v>45957</v>
      </c>
      <c r="B430" s="6">
        <v>17757</v>
      </c>
      <c r="C430" s="6">
        <v>17782</v>
      </c>
      <c r="D430" s="6">
        <v>17562</v>
      </c>
      <c r="E430" s="6">
        <v>17635</v>
      </c>
      <c r="F430" s="6">
        <v>27900</v>
      </c>
      <c r="G430" s="7">
        <f t="shared" ref="G430:H430" si="427">(E430-E429)/E429</f>
        <v>-6.8705299318578585E-3</v>
      </c>
      <c r="H430" s="7">
        <f t="shared" si="427"/>
        <v>1.325</v>
      </c>
      <c r="I430" s="8">
        <f>IF(COUNTIF(Event_Rumor!$B$2:$B$9,A430)&gt;0,1,0)</f>
        <v>0</v>
      </c>
      <c r="J430" s="8" t="str">
        <f t="array" ref="J4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0" s="8" t="str">
        <f t="array" ref="K430">IF(I430=1,"Event",IF(J430="-","Normal",IF(INDEX(Event_Rumor!$G$2:$G$9,MATCH(J430,Event_Rumor!$A$2:$A$9,0))&gt;ROW(),"Pre","Post")))</f>
        <v>Normal</v>
      </c>
      <c r="L430" s="11" t="str">
        <f t="array" ref="L430">IF(J430="-","-",INDEX(Event_Rumor!$E$2:$E$9,MATCH(J430,Event_Rumor!$A$2:$A$9,0)))</f>
        <v>-</v>
      </c>
    </row>
    <row r="431" spans="1:12" ht="15" customHeight="1" x14ac:dyDescent="0.3">
      <c r="A431" s="26">
        <v>45958</v>
      </c>
      <c r="B431" s="6">
        <v>17757</v>
      </c>
      <c r="C431" s="6">
        <v>17757</v>
      </c>
      <c r="D431" s="6">
        <v>17538</v>
      </c>
      <c r="E431" s="6">
        <v>17611</v>
      </c>
      <c r="F431" s="6">
        <v>20400</v>
      </c>
      <c r="G431" s="7">
        <f t="shared" ref="G431:H431" si="428">(E431-E430)/E430</f>
        <v>-1.3609299688120216E-3</v>
      </c>
      <c r="H431" s="7">
        <f t="shared" si="428"/>
        <v>-0.26881720430107525</v>
      </c>
      <c r="I431" s="8">
        <f>IF(COUNTIF(Event_Rumor!$B$2:$B$9,A431)&gt;0,1,0)</f>
        <v>0</v>
      </c>
      <c r="J431" s="8" t="str">
        <f t="array" ref="J4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1" s="8" t="str">
        <f t="array" ref="K431">IF(I431=1,"Event",IF(J431="-","Normal",IF(INDEX(Event_Rumor!$G$2:$G$9,MATCH(J431,Event_Rumor!$A$2:$A$9,0))&gt;ROW(),"Pre","Post")))</f>
        <v>Normal</v>
      </c>
      <c r="L431" s="11" t="str">
        <f t="array" ref="L431">IF(J431="-","-",INDEX(Event_Rumor!$E$2:$E$9,MATCH(J431,Event_Rumor!$A$2:$A$9,0)))</f>
        <v>-</v>
      </c>
    </row>
    <row r="432" spans="1:12" ht="15" customHeight="1" x14ac:dyDescent="0.3">
      <c r="A432" s="26">
        <v>45959</v>
      </c>
      <c r="B432" s="6">
        <v>17635</v>
      </c>
      <c r="C432" s="6">
        <v>17660</v>
      </c>
      <c r="D432" s="6">
        <v>17269</v>
      </c>
      <c r="E432" s="6">
        <v>17562</v>
      </c>
      <c r="F432" s="6">
        <v>72100</v>
      </c>
      <c r="G432" s="7">
        <f t="shared" ref="G432:H432" si="429">(E432-E431)/E431</f>
        <v>-2.7823519391289536E-3</v>
      </c>
      <c r="H432" s="7">
        <f t="shared" si="429"/>
        <v>2.534313725490196</v>
      </c>
      <c r="I432" s="8">
        <f>IF(COUNTIF(Event_Rumor!$B$2:$B$9,A432)&gt;0,1,0)</f>
        <v>0</v>
      </c>
      <c r="J432" s="8" t="str">
        <f t="array" ref="J4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2" s="8" t="str">
        <f t="array" ref="K432">IF(I432=1,"Event",IF(J432="-","Normal",IF(INDEX(Event_Rumor!$G$2:$G$9,MATCH(J432,Event_Rumor!$A$2:$A$9,0))&gt;ROW(),"Pre","Post")))</f>
        <v>Normal</v>
      </c>
      <c r="L432" s="11" t="str">
        <f t="array" ref="L432">IF(J432="-","-",INDEX(Event_Rumor!$E$2:$E$9,MATCH(J432,Event_Rumor!$A$2:$A$9,0)))</f>
        <v>-</v>
      </c>
    </row>
    <row r="433" spans="1:12" ht="15" customHeight="1" x14ac:dyDescent="0.3">
      <c r="A433" s="26">
        <v>45960</v>
      </c>
      <c r="B433" s="6">
        <v>17562</v>
      </c>
      <c r="C433" s="6">
        <v>17611</v>
      </c>
      <c r="D433" s="6">
        <v>17562</v>
      </c>
      <c r="E433" s="6">
        <v>17562</v>
      </c>
      <c r="F433" s="6">
        <v>31100</v>
      </c>
      <c r="G433" s="7">
        <f t="shared" ref="G433:H433" si="430">(E433-E432)/E432</f>
        <v>0</v>
      </c>
      <c r="H433" s="7">
        <f t="shared" si="430"/>
        <v>-0.56865464632454921</v>
      </c>
      <c r="I433" s="8">
        <f>IF(COUNTIF(Event_Rumor!$B$2:$B$9,A433)&gt;0,1,0)</f>
        <v>0</v>
      </c>
      <c r="J433" s="8" t="str">
        <f t="array" ref="J4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3" s="8" t="str">
        <f t="array" ref="K433">IF(I433=1,"Event",IF(J433="-","Normal",IF(INDEX(Event_Rumor!$G$2:$G$9,MATCH(J433,Event_Rumor!$A$2:$A$9,0))&gt;ROW(),"Pre","Post")))</f>
        <v>Normal</v>
      </c>
      <c r="L433" s="11" t="str">
        <f t="array" ref="L433">IF(J433="-","-",INDEX(Event_Rumor!$E$2:$E$9,MATCH(J433,Event_Rumor!$A$2:$A$9,0)))</f>
        <v>-</v>
      </c>
    </row>
    <row r="434" spans="1:12" ht="15" customHeight="1" x14ac:dyDescent="0.3">
      <c r="A434" s="26">
        <v>45961</v>
      </c>
      <c r="B434" s="6">
        <v>17611</v>
      </c>
      <c r="C434" s="6">
        <v>17733</v>
      </c>
      <c r="D434" s="6">
        <v>17562</v>
      </c>
      <c r="E434" s="6">
        <v>17708</v>
      </c>
      <c r="F434" s="6">
        <v>23000</v>
      </c>
      <c r="G434" s="7">
        <f t="shared" ref="G434:H434" si="431">(E434-E433)/E433</f>
        <v>8.3134039403257032E-3</v>
      </c>
      <c r="H434" s="7">
        <f t="shared" si="431"/>
        <v>-0.26045016077170419</v>
      </c>
      <c r="I434" s="8">
        <f>IF(COUNTIF(Event_Rumor!$B$2:$B$9,A434)&gt;0,1,0)</f>
        <v>0</v>
      </c>
      <c r="J434" s="8" t="str">
        <f t="array" ref="J4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4" s="8" t="str">
        <f t="array" ref="K434">IF(I434=1,"Event",IF(J434="-","Normal",IF(INDEX(Event_Rumor!$G$2:$G$9,MATCH(J434,Event_Rumor!$A$2:$A$9,0))&gt;ROW(),"Pre","Post")))</f>
        <v>Normal</v>
      </c>
      <c r="L434" s="11" t="str">
        <f t="array" ref="L434">IF(J434="-","-",INDEX(Event_Rumor!$E$2:$E$9,MATCH(J434,Event_Rumor!$A$2:$A$9,0)))</f>
        <v>-</v>
      </c>
    </row>
    <row r="435" spans="1:12" ht="15" customHeight="1" x14ac:dyDescent="0.3">
      <c r="A435" s="26">
        <v>45964</v>
      </c>
      <c r="B435" s="6">
        <v>17733</v>
      </c>
      <c r="C435" s="6">
        <v>17733</v>
      </c>
      <c r="D435" s="6">
        <v>17611</v>
      </c>
      <c r="E435" s="6">
        <v>17708</v>
      </c>
      <c r="F435" s="6">
        <v>22000</v>
      </c>
      <c r="G435" s="7">
        <f t="shared" ref="G435:H435" si="432">(E435-E434)/E434</f>
        <v>0</v>
      </c>
      <c r="H435" s="7">
        <f t="shared" si="432"/>
        <v>-4.3478260869565216E-2</v>
      </c>
      <c r="I435" s="8">
        <f>IF(COUNTIF(Event_Rumor!$B$2:$B$9,A435)&gt;0,1,0)</f>
        <v>0</v>
      </c>
      <c r="J435" s="8" t="str">
        <f t="array" ref="J4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5" s="8" t="str">
        <f t="array" ref="K435">IF(I435=1,"Event",IF(J435="-","Normal",IF(INDEX(Event_Rumor!$G$2:$G$9,MATCH(J435,Event_Rumor!$A$2:$A$9,0))&gt;ROW(),"Pre","Post")))</f>
        <v>Normal</v>
      </c>
      <c r="L435" s="11" t="str">
        <f t="array" ref="L435">IF(J435="-","-",INDEX(Event_Rumor!$E$2:$E$9,MATCH(J435,Event_Rumor!$A$2:$A$9,0)))</f>
        <v>-</v>
      </c>
    </row>
    <row r="436" spans="1:12" ht="15" customHeight="1" x14ac:dyDescent="0.3">
      <c r="A436" s="26">
        <v>45965</v>
      </c>
      <c r="B436" s="6">
        <v>17708</v>
      </c>
      <c r="C436" s="6">
        <v>17708</v>
      </c>
      <c r="D436" s="6">
        <v>17513</v>
      </c>
      <c r="E436" s="6">
        <v>17611</v>
      </c>
      <c r="F436" s="6">
        <v>16100</v>
      </c>
      <c r="G436" s="7">
        <f t="shared" ref="G436:H436" si="433">(E436-E435)/E435</f>
        <v>-5.4777501694149534E-3</v>
      </c>
      <c r="H436" s="7">
        <f t="shared" si="433"/>
        <v>-0.26818181818181819</v>
      </c>
      <c r="I436" s="8">
        <f>IF(COUNTIF(Event_Rumor!$B$2:$B$9,A436)&gt;0,1,0)</f>
        <v>0</v>
      </c>
      <c r="J436" s="8" t="str">
        <f t="array" ref="J4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6" s="8" t="str">
        <f t="array" ref="K436">IF(I436=1,"Event",IF(J436="-","Normal",IF(INDEX(Event_Rumor!$G$2:$G$9,MATCH(J436,Event_Rumor!$A$2:$A$9,0))&gt;ROW(),"Pre","Post")))</f>
        <v>Normal</v>
      </c>
      <c r="L436" s="11" t="str">
        <f t="array" ref="L436">IF(J436="-","-",INDEX(Event_Rumor!$E$2:$E$9,MATCH(J436,Event_Rumor!$A$2:$A$9,0)))</f>
        <v>-</v>
      </c>
    </row>
    <row r="437" spans="1:12" ht="15" customHeight="1" x14ac:dyDescent="0.3">
      <c r="A437" s="26">
        <v>45966</v>
      </c>
      <c r="B437" s="6">
        <v>17611</v>
      </c>
      <c r="C437" s="6">
        <v>17708</v>
      </c>
      <c r="D437" s="6">
        <v>17440</v>
      </c>
      <c r="E437" s="6">
        <v>17635</v>
      </c>
      <c r="F437" s="6">
        <v>38400</v>
      </c>
      <c r="G437" s="7">
        <f t="shared" ref="G437:H437" si="434">(E437-E436)/E436</f>
        <v>1.3627846232468343E-3</v>
      </c>
      <c r="H437" s="7">
        <f t="shared" si="434"/>
        <v>1.3850931677018634</v>
      </c>
      <c r="I437" s="8">
        <f>IF(COUNTIF(Event_Rumor!$B$2:$B$9,A437)&gt;0,1,0)</f>
        <v>0</v>
      </c>
      <c r="J437" s="8" t="str">
        <f t="array" ref="J4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7" s="8" t="str">
        <f t="array" ref="K437">IF(I437=1,"Event",IF(J437="-","Normal",IF(INDEX(Event_Rumor!$G$2:$G$9,MATCH(J437,Event_Rumor!$A$2:$A$9,0))&gt;ROW(),"Pre","Post")))</f>
        <v>Normal</v>
      </c>
      <c r="L437" s="11" t="str">
        <f t="array" ref="L437">IF(J437="-","-",INDEX(Event_Rumor!$E$2:$E$9,MATCH(J437,Event_Rumor!$A$2:$A$9,0)))</f>
        <v>-</v>
      </c>
    </row>
    <row r="438" spans="1:12" ht="15" customHeight="1" x14ac:dyDescent="0.3">
      <c r="A438" s="26">
        <v>45967</v>
      </c>
      <c r="B438" s="6">
        <v>17757</v>
      </c>
      <c r="C438" s="6">
        <v>17757</v>
      </c>
      <c r="D438" s="6">
        <v>17465</v>
      </c>
      <c r="E438" s="6">
        <v>17465</v>
      </c>
      <c r="F438" s="6">
        <v>69900</v>
      </c>
      <c r="G438" s="7">
        <f t="shared" ref="G438:H438" si="435">(E438-E437)/E437</f>
        <v>-9.6399206124184855E-3</v>
      </c>
      <c r="H438" s="7">
        <f t="shared" si="435"/>
        <v>0.8203125</v>
      </c>
      <c r="I438" s="8">
        <f>IF(COUNTIF(Event_Rumor!$B$2:$B$9,A438)&gt;0,1,0)</f>
        <v>0</v>
      </c>
      <c r="J438" s="8" t="str">
        <f t="array" ref="J4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8" s="8" t="str">
        <f t="array" ref="K438">IF(I438=1,"Event",IF(J438="-","Normal",IF(INDEX(Event_Rumor!$G$2:$G$9,MATCH(J438,Event_Rumor!$A$2:$A$9,0))&gt;ROW(),"Pre","Post")))</f>
        <v>Normal</v>
      </c>
      <c r="L438" s="11" t="str">
        <f t="array" ref="L438">IF(J438="-","-",INDEX(Event_Rumor!$E$2:$E$9,MATCH(J438,Event_Rumor!$A$2:$A$9,0)))</f>
        <v>-</v>
      </c>
    </row>
    <row r="439" spans="1:12" ht="15" customHeight="1" x14ac:dyDescent="0.3">
      <c r="A439" s="26">
        <v>45968</v>
      </c>
      <c r="B439" s="6">
        <v>17465</v>
      </c>
      <c r="C439" s="6">
        <v>17635</v>
      </c>
      <c r="D439" s="6">
        <v>17440</v>
      </c>
      <c r="E439" s="6">
        <v>17440</v>
      </c>
      <c r="F439" s="6">
        <v>13700</v>
      </c>
      <c r="G439" s="7">
        <f t="shared" ref="G439:H439" si="436">(E439-E438)/E438</f>
        <v>-1.4314342971657602E-3</v>
      </c>
      <c r="H439" s="7">
        <f t="shared" si="436"/>
        <v>-0.80400572246065805</v>
      </c>
      <c r="I439" s="8">
        <f>IF(COUNTIF(Event_Rumor!$B$2:$B$9,A439)&gt;0,1,0)</f>
        <v>0</v>
      </c>
      <c r="J439" s="8" t="str">
        <f t="array" ref="J4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39" s="8" t="str">
        <f t="array" ref="K439">IF(I439=1,"Event",IF(J439="-","Normal",IF(INDEX(Event_Rumor!$G$2:$G$9,MATCH(J439,Event_Rumor!$A$2:$A$9,0))&gt;ROW(),"Pre","Post")))</f>
        <v>Normal</v>
      </c>
      <c r="L439" s="11" t="str">
        <f t="array" ref="L439">IF(J439="-","-",INDEX(Event_Rumor!$E$2:$E$9,MATCH(J439,Event_Rumor!$A$2:$A$9,0)))</f>
        <v>-</v>
      </c>
    </row>
    <row r="440" spans="1:12" ht="15" customHeight="1" x14ac:dyDescent="0.3">
      <c r="A440" s="26">
        <v>45971</v>
      </c>
      <c r="B440" s="6">
        <v>17440</v>
      </c>
      <c r="C440" s="6">
        <v>17708</v>
      </c>
      <c r="D440" s="6">
        <v>17440</v>
      </c>
      <c r="E440" s="6">
        <v>17587</v>
      </c>
      <c r="F440" s="6">
        <v>31500</v>
      </c>
      <c r="G440" s="7">
        <f t="shared" ref="G440:H440" si="437">(E440-E439)/E439</f>
        <v>8.4288990825688078E-3</v>
      </c>
      <c r="H440" s="7">
        <f t="shared" si="437"/>
        <v>1.2992700729927007</v>
      </c>
      <c r="I440" s="8">
        <f>IF(COUNTIF(Event_Rumor!$B$2:$B$9,A440)&gt;0,1,0)</f>
        <v>0</v>
      </c>
      <c r="J440" s="8" t="str">
        <f t="array" ref="J4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0" s="8" t="str">
        <f t="array" ref="K440">IF(I440=1,"Event",IF(J440="-","Normal",IF(INDEX(Event_Rumor!$G$2:$G$9,MATCH(J440,Event_Rumor!$A$2:$A$9,0))&gt;ROW(),"Pre","Post")))</f>
        <v>Normal</v>
      </c>
      <c r="L440" s="11" t="str">
        <f t="array" ref="L440">IF(J440="-","-",INDEX(Event_Rumor!$E$2:$E$9,MATCH(J440,Event_Rumor!$A$2:$A$9,0)))</f>
        <v>-</v>
      </c>
    </row>
    <row r="441" spans="1:12" ht="15" customHeight="1" x14ac:dyDescent="0.3">
      <c r="A441" s="26">
        <v>45972</v>
      </c>
      <c r="B441" s="6">
        <v>17587</v>
      </c>
      <c r="C441" s="6">
        <v>17635</v>
      </c>
      <c r="D441" s="6">
        <v>17465</v>
      </c>
      <c r="E441" s="6">
        <v>17562</v>
      </c>
      <c r="F441" s="6">
        <v>45000</v>
      </c>
      <c r="G441" s="7">
        <f t="shared" ref="G441:H441" si="438">(E441-E440)/E440</f>
        <v>-1.4215045203843748E-3</v>
      </c>
      <c r="H441" s="7">
        <f t="shared" si="438"/>
        <v>0.42857142857142855</v>
      </c>
      <c r="I441" s="8">
        <f>IF(COUNTIF(Event_Rumor!$B$2:$B$9,A441)&gt;0,1,0)</f>
        <v>0</v>
      </c>
      <c r="J441" s="8" t="str">
        <f t="array" ref="J4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1" s="8" t="str">
        <f t="array" ref="K441">IF(I441=1,"Event",IF(J441="-","Normal",IF(INDEX(Event_Rumor!$G$2:$G$9,MATCH(J441,Event_Rumor!$A$2:$A$9,0))&gt;ROW(),"Pre","Post")))</f>
        <v>Normal</v>
      </c>
      <c r="L441" s="11" t="str">
        <f t="array" ref="L441">IF(J441="-","-",INDEX(Event_Rumor!$E$2:$E$9,MATCH(J441,Event_Rumor!$A$2:$A$9,0)))</f>
        <v>-</v>
      </c>
    </row>
    <row r="442" spans="1:12" ht="15" customHeight="1" x14ac:dyDescent="0.3">
      <c r="A442" s="26">
        <v>45973</v>
      </c>
      <c r="B442" s="6">
        <v>17562</v>
      </c>
      <c r="C442" s="6">
        <v>17587</v>
      </c>
      <c r="D442" s="6">
        <v>17343</v>
      </c>
      <c r="E442" s="6">
        <v>17343</v>
      </c>
      <c r="F442" s="6">
        <v>47500</v>
      </c>
      <c r="G442" s="7">
        <f t="shared" ref="G442:H442" si="439">(E442-E441)/E441</f>
        <v>-1.2470105910488555E-2</v>
      </c>
      <c r="H442" s="7">
        <f t="shared" si="439"/>
        <v>5.5555555555555552E-2</v>
      </c>
      <c r="I442" s="8">
        <f>IF(COUNTIF(Event_Rumor!$B$2:$B$9,A442)&gt;0,1,0)</f>
        <v>0</v>
      </c>
      <c r="J442" s="8" t="str">
        <f t="array" ref="J4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2" s="8" t="str">
        <f t="array" ref="K442">IF(I442=1,"Event",IF(J442="-","Normal",IF(INDEX(Event_Rumor!$G$2:$G$9,MATCH(J442,Event_Rumor!$A$2:$A$9,0))&gt;ROW(),"Pre","Post")))</f>
        <v>Normal</v>
      </c>
      <c r="L442" s="11" t="str">
        <f t="array" ref="L442">IF(J442="-","-",INDEX(Event_Rumor!$E$2:$E$9,MATCH(J442,Event_Rumor!$A$2:$A$9,0)))</f>
        <v>-</v>
      </c>
    </row>
    <row r="443" spans="1:12" ht="15" customHeight="1" x14ac:dyDescent="0.3">
      <c r="A443" s="26">
        <v>45974</v>
      </c>
      <c r="B443" s="6">
        <v>17367</v>
      </c>
      <c r="C443" s="6">
        <v>17562</v>
      </c>
      <c r="D443" s="6">
        <v>17318</v>
      </c>
      <c r="E443" s="6">
        <v>17318</v>
      </c>
      <c r="F443" s="6">
        <v>44700</v>
      </c>
      <c r="G443" s="7">
        <f t="shared" ref="G443:H443" si="440">(E443-E442)/E442</f>
        <v>-1.4415037767398951E-3</v>
      </c>
      <c r="H443" s="7">
        <f t="shared" si="440"/>
        <v>-5.894736842105263E-2</v>
      </c>
      <c r="I443" s="8">
        <f>IF(COUNTIF(Event_Rumor!$B$2:$B$9,A443)&gt;0,1,0)</f>
        <v>0</v>
      </c>
      <c r="J443" s="8" t="str">
        <f t="array" ref="J4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3" s="8" t="str">
        <f t="array" ref="K443">IF(I443=1,"Event",IF(J443="-","Normal",IF(INDEX(Event_Rumor!$G$2:$G$9,MATCH(J443,Event_Rumor!$A$2:$A$9,0))&gt;ROW(),"Pre","Post")))</f>
        <v>Normal</v>
      </c>
      <c r="L443" s="11" t="str">
        <f t="array" ref="L443">IF(J443="-","-",INDEX(Event_Rumor!$E$2:$E$9,MATCH(J443,Event_Rumor!$A$2:$A$9,0)))</f>
        <v>-</v>
      </c>
    </row>
    <row r="444" spans="1:12" ht="15" customHeight="1" x14ac:dyDescent="0.3">
      <c r="A444" s="26">
        <v>45975</v>
      </c>
      <c r="B444" s="6">
        <v>17318</v>
      </c>
      <c r="C444" s="6">
        <v>17562</v>
      </c>
      <c r="D444" s="6">
        <v>17318</v>
      </c>
      <c r="E444" s="6">
        <v>17489</v>
      </c>
      <c r="F444" s="6">
        <v>11600</v>
      </c>
      <c r="G444" s="7">
        <f t="shared" ref="G444:H444" si="441">(E444-E443)/E443</f>
        <v>9.8741194133271735E-3</v>
      </c>
      <c r="H444" s="7">
        <f t="shared" si="441"/>
        <v>-0.74049217002237133</v>
      </c>
      <c r="I444" s="8">
        <f>IF(COUNTIF(Event_Rumor!$B$2:$B$9,A444)&gt;0,1,0)</f>
        <v>0</v>
      </c>
      <c r="J444" s="8" t="str">
        <f t="array" ref="J4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4" s="8" t="str">
        <f t="array" ref="K444">IF(I444=1,"Event",IF(J444="-","Normal",IF(INDEX(Event_Rumor!$G$2:$G$9,MATCH(J444,Event_Rumor!$A$2:$A$9,0))&gt;ROW(),"Pre","Post")))</f>
        <v>Normal</v>
      </c>
      <c r="L444" s="11" t="str">
        <f t="array" ref="L444">IF(J444="-","-",INDEX(Event_Rumor!$E$2:$E$9,MATCH(J444,Event_Rumor!$A$2:$A$9,0)))</f>
        <v>-</v>
      </c>
    </row>
    <row r="445" spans="1:12" ht="15" customHeight="1" x14ac:dyDescent="0.3">
      <c r="A445" s="26">
        <v>45978</v>
      </c>
      <c r="B445" s="6">
        <v>17489</v>
      </c>
      <c r="C445" s="6">
        <v>17489</v>
      </c>
      <c r="D445" s="6">
        <v>17294</v>
      </c>
      <c r="E445" s="6">
        <v>17465</v>
      </c>
      <c r="F445" s="6">
        <v>25700</v>
      </c>
      <c r="G445" s="7">
        <f t="shared" ref="G445:H445" si="442">(E445-E444)/E444</f>
        <v>-1.3722911544399336E-3</v>
      </c>
      <c r="H445" s="7">
        <f t="shared" si="442"/>
        <v>1.2155172413793103</v>
      </c>
      <c r="I445" s="8">
        <f>IF(COUNTIF(Event_Rumor!$B$2:$B$9,A445)&gt;0,1,0)</f>
        <v>0</v>
      </c>
      <c r="J445" s="8" t="str">
        <f t="array" ref="J4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5" s="8" t="str">
        <f t="array" ref="K445">IF(I445=1,"Event",IF(J445="-","Normal",IF(INDEX(Event_Rumor!$G$2:$G$9,MATCH(J445,Event_Rumor!$A$2:$A$9,0))&gt;ROW(),"Pre","Post")))</f>
        <v>Normal</v>
      </c>
      <c r="L445" s="11" t="str">
        <f t="array" ref="L445">IF(J445="-","-",INDEX(Event_Rumor!$E$2:$E$9,MATCH(J445,Event_Rumor!$A$2:$A$9,0)))</f>
        <v>-</v>
      </c>
    </row>
    <row r="446" spans="1:12" ht="15" customHeight="1" x14ac:dyDescent="0.3">
      <c r="A446" s="26">
        <v>45979</v>
      </c>
      <c r="B446" s="6">
        <v>17465</v>
      </c>
      <c r="C446" s="6">
        <v>17465</v>
      </c>
      <c r="D446" s="6">
        <v>17074</v>
      </c>
      <c r="E446" s="6">
        <v>17172</v>
      </c>
      <c r="F446" s="6">
        <v>54800</v>
      </c>
      <c r="G446" s="7">
        <f t="shared" ref="G446:H446" si="443">(E446-E445)/E445</f>
        <v>-1.6776409962782707E-2</v>
      </c>
      <c r="H446" s="7">
        <f t="shared" si="443"/>
        <v>1.132295719844358</v>
      </c>
      <c r="I446" s="8">
        <f>IF(COUNTIF(Event_Rumor!$B$2:$B$9,A446)&gt;0,1,0)</f>
        <v>0</v>
      </c>
      <c r="J446" s="8" t="str">
        <f t="array" ref="J4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6" s="8" t="str">
        <f t="array" ref="K446">IF(I446=1,"Event",IF(J446="-","Normal",IF(INDEX(Event_Rumor!$G$2:$G$9,MATCH(J446,Event_Rumor!$A$2:$A$9,0))&gt;ROW(),"Pre","Post")))</f>
        <v>Normal</v>
      </c>
      <c r="L446" s="11" t="str">
        <f t="array" ref="L446">IF(J446="-","-",INDEX(Event_Rumor!$E$2:$E$9,MATCH(J446,Event_Rumor!$A$2:$A$9,0)))</f>
        <v>-</v>
      </c>
    </row>
    <row r="447" spans="1:12" ht="15" customHeight="1" x14ac:dyDescent="0.3">
      <c r="A447" s="26">
        <v>45980</v>
      </c>
      <c r="B447" s="6">
        <v>17172</v>
      </c>
      <c r="C447" s="6">
        <v>17367</v>
      </c>
      <c r="D447" s="6">
        <v>17123</v>
      </c>
      <c r="E447" s="6">
        <v>17269</v>
      </c>
      <c r="F447" s="6">
        <v>13500</v>
      </c>
      <c r="G447" s="7">
        <f t="shared" ref="G447:H447" si="444">(E447-E446)/E446</f>
        <v>5.6487304914977872E-3</v>
      </c>
      <c r="H447" s="7">
        <f t="shared" si="444"/>
        <v>-0.7536496350364964</v>
      </c>
      <c r="I447" s="8">
        <f>IF(COUNTIF(Event_Rumor!$B$2:$B$9,A447)&gt;0,1,0)</f>
        <v>0</v>
      </c>
      <c r="J447" s="8" t="str">
        <f t="array" ref="J4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7" s="8" t="str">
        <f t="array" ref="K447">IF(I447=1,"Event",IF(J447="-","Normal",IF(INDEX(Event_Rumor!$G$2:$G$9,MATCH(J447,Event_Rumor!$A$2:$A$9,0))&gt;ROW(),"Pre","Post")))</f>
        <v>Normal</v>
      </c>
      <c r="L447" s="11" t="str">
        <f t="array" ref="L447">IF(J447="-","-",INDEX(Event_Rumor!$E$2:$E$9,MATCH(J447,Event_Rumor!$A$2:$A$9,0)))</f>
        <v>-</v>
      </c>
    </row>
    <row r="448" spans="1:12" ht="15" customHeight="1" x14ac:dyDescent="0.3">
      <c r="A448" s="26">
        <v>45981</v>
      </c>
      <c r="B448" s="6">
        <v>17269</v>
      </c>
      <c r="C448" s="6">
        <v>17367</v>
      </c>
      <c r="D448" s="6">
        <v>17245</v>
      </c>
      <c r="E448" s="6">
        <v>17343</v>
      </c>
      <c r="F448" s="6">
        <v>8300</v>
      </c>
      <c r="G448" s="7">
        <f t="shared" ref="G448:H448" si="445">(E448-E447)/E447</f>
        <v>4.2851352133881524E-3</v>
      </c>
      <c r="H448" s="7">
        <f t="shared" si="445"/>
        <v>-0.38518518518518519</v>
      </c>
      <c r="I448" s="8">
        <f>IF(COUNTIF(Event_Rumor!$B$2:$B$9,A448)&gt;0,1,0)</f>
        <v>0</v>
      </c>
      <c r="J448" s="8" t="str">
        <f t="array" ref="J4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8" s="8" t="str">
        <f t="array" ref="K448">IF(I448=1,"Event",IF(J448="-","Normal",IF(INDEX(Event_Rumor!$G$2:$G$9,MATCH(J448,Event_Rumor!$A$2:$A$9,0))&gt;ROW(),"Pre","Post")))</f>
        <v>Normal</v>
      </c>
      <c r="L448" s="11" t="str">
        <f t="array" ref="L448">IF(J448="-","-",INDEX(Event_Rumor!$E$2:$E$9,MATCH(J448,Event_Rumor!$A$2:$A$9,0)))</f>
        <v>-</v>
      </c>
    </row>
    <row r="449" spans="1:12" ht="15" customHeight="1" x14ac:dyDescent="0.3">
      <c r="A449" s="26">
        <v>45982</v>
      </c>
      <c r="B449" s="6">
        <v>17343</v>
      </c>
      <c r="C449" s="6">
        <v>17416</v>
      </c>
      <c r="D449" s="6">
        <v>17318</v>
      </c>
      <c r="E449" s="6">
        <v>17318</v>
      </c>
      <c r="F449" s="6">
        <v>8500</v>
      </c>
      <c r="G449" s="7">
        <f t="shared" ref="G449:H449" si="446">(E449-E448)/E448</f>
        <v>-1.4415037767398951E-3</v>
      </c>
      <c r="H449" s="7">
        <f t="shared" si="446"/>
        <v>2.4096385542168676E-2</v>
      </c>
      <c r="I449" s="8">
        <f>IF(COUNTIF(Event_Rumor!$B$2:$B$9,A449)&gt;0,1,0)</f>
        <v>0</v>
      </c>
      <c r="J449" s="8" t="str">
        <f t="array" ref="J4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49" s="8" t="str">
        <f t="array" ref="K449">IF(I449=1,"Event",IF(J449="-","Normal",IF(INDEX(Event_Rumor!$G$2:$G$9,MATCH(J449,Event_Rumor!$A$2:$A$9,0))&gt;ROW(),"Pre","Post")))</f>
        <v>Normal</v>
      </c>
      <c r="L449" s="11" t="str">
        <f t="array" ref="L449">IF(J449="-","-",INDEX(Event_Rumor!$E$2:$E$9,MATCH(J449,Event_Rumor!$A$2:$A$9,0)))</f>
        <v>-</v>
      </c>
    </row>
    <row r="450" spans="1:12" ht="15" customHeight="1" x14ac:dyDescent="0.3">
      <c r="A450" s="26">
        <v>45985</v>
      </c>
      <c r="B450" s="6">
        <v>17318</v>
      </c>
      <c r="C450" s="6">
        <v>17318</v>
      </c>
      <c r="D450" s="6">
        <v>16830</v>
      </c>
      <c r="E450" s="6">
        <v>17099</v>
      </c>
      <c r="F450" s="6">
        <v>70300</v>
      </c>
      <c r="G450" s="7">
        <f t="shared" ref="G450:H450" si="447">(E450-E449)/E449</f>
        <v>-1.2645802055664627E-2</v>
      </c>
      <c r="H450" s="7">
        <f t="shared" si="447"/>
        <v>7.2705882352941176</v>
      </c>
      <c r="I450" s="8">
        <f>IF(COUNTIF(Event_Rumor!$B$2:$B$9,A450)&gt;0,1,0)</f>
        <v>0</v>
      </c>
      <c r="J450" s="8" t="str">
        <f t="array" ref="J4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0" s="8" t="str">
        <f t="array" ref="K450">IF(I450=1,"Event",IF(J450="-","Normal",IF(INDEX(Event_Rumor!$G$2:$G$9,MATCH(J450,Event_Rumor!$A$2:$A$9,0))&gt;ROW(),"Pre","Post")))</f>
        <v>Normal</v>
      </c>
      <c r="L450" s="11" t="str">
        <f t="array" ref="L450">IF(J450="-","-",INDEX(Event_Rumor!$E$2:$E$9,MATCH(J450,Event_Rumor!$A$2:$A$9,0)))</f>
        <v>-</v>
      </c>
    </row>
    <row r="451" spans="1:12" ht="15" customHeight="1" x14ac:dyDescent="0.3">
      <c r="A451" s="26">
        <v>45986</v>
      </c>
      <c r="B451" s="6">
        <v>17099</v>
      </c>
      <c r="C451" s="6">
        <v>17099</v>
      </c>
      <c r="D451" s="6">
        <v>16855</v>
      </c>
      <c r="E451" s="6">
        <v>16952</v>
      </c>
      <c r="F451" s="6">
        <v>56500</v>
      </c>
      <c r="G451" s="7">
        <f t="shared" ref="G451:H451" si="448">(E451-E450)/E450</f>
        <v>-8.5969939762559205E-3</v>
      </c>
      <c r="H451" s="7">
        <f t="shared" si="448"/>
        <v>-0.19630156472261737</v>
      </c>
      <c r="I451" s="8">
        <f>IF(COUNTIF(Event_Rumor!$B$2:$B$9,A451)&gt;0,1,0)</f>
        <v>0</v>
      </c>
      <c r="J451" s="8" t="str">
        <f t="array" ref="J4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1" s="8" t="str">
        <f t="array" ref="K451">IF(I451=1,"Event",IF(J451="-","Normal",IF(INDEX(Event_Rumor!$G$2:$G$9,MATCH(J451,Event_Rumor!$A$2:$A$9,0))&gt;ROW(),"Pre","Post")))</f>
        <v>Normal</v>
      </c>
      <c r="L451" s="11" t="str">
        <f t="array" ref="L451">IF(J451="-","-",INDEX(Event_Rumor!$E$2:$E$9,MATCH(J451,Event_Rumor!$A$2:$A$9,0)))</f>
        <v>-</v>
      </c>
    </row>
    <row r="452" spans="1:12" ht="15" customHeight="1" x14ac:dyDescent="0.3">
      <c r="A452" s="26">
        <v>45987</v>
      </c>
      <c r="B452" s="6">
        <v>16952</v>
      </c>
      <c r="C452" s="6">
        <v>17074</v>
      </c>
      <c r="D452" s="6">
        <v>16952</v>
      </c>
      <c r="E452" s="6">
        <v>17074</v>
      </c>
      <c r="F452" s="6">
        <v>28800</v>
      </c>
      <c r="G452" s="7">
        <f t="shared" ref="G452:H452" si="449">(E452-E451)/E451</f>
        <v>7.1967909391222277E-3</v>
      </c>
      <c r="H452" s="7">
        <f t="shared" si="449"/>
        <v>-0.49026548672566372</v>
      </c>
      <c r="I452" s="8">
        <f>IF(COUNTIF(Event_Rumor!$B$2:$B$9,A452)&gt;0,1,0)</f>
        <v>0</v>
      </c>
      <c r="J452" s="8" t="str">
        <f t="array" ref="J45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2" s="8" t="str">
        <f t="array" ref="K452">IF(I452=1,"Event",IF(J452="-","Normal",IF(INDEX(Event_Rumor!$G$2:$G$9,MATCH(J452,Event_Rumor!$A$2:$A$9,0))&gt;ROW(),"Pre","Post")))</f>
        <v>Normal</v>
      </c>
      <c r="L452" s="11" t="str">
        <f t="array" ref="L452">IF(J452="-","-",INDEX(Event_Rumor!$E$2:$E$9,MATCH(J452,Event_Rumor!$A$2:$A$9,0)))</f>
        <v>-</v>
      </c>
    </row>
    <row r="453" spans="1:12" ht="15" customHeight="1" x14ac:dyDescent="0.3">
      <c r="A453" s="26">
        <v>45988</v>
      </c>
      <c r="B453" s="6">
        <v>17074</v>
      </c>
      <c r="C453" s="6">
        <v>17196</v>
      </c>
      <c r="D453" s="6">
        <v>16928</v>
      </c>
      <c r="E453" s="6">
        <v>16977</v>
      </c>
      <c r="F453" s="6">
        <v>21300</v>
      </c>
      <c r="G453" s="7">
        <f t="shared" ref="G453:H453" si="450">(E453-E452)/E452</f>
        <v>-5.6811526297294128E-3</v>
      </c>
      <c r="H453" s="7">
        <f t="shared" si="450"/>
        <v>-0.26041666666666669</v>
      </c>
      <c r="I453" s="8">
        <f>IF(COUNTIF(Event_Rumor!$B$2:$B$9,A453)&gt;0,1,0)</f>
        <v>0</v>
      </c>
      <c r="J453" s="8" t="str">
        <f t="array" ref="J45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3" s="8" t="str">
        <f t="array" ref="K453">IF(I453=1,"Event",IF(J453="-","Normal",IF(INDEX(Event_Rumor!$G$2:$G$9,MATCH(J453,Event_Rumor!$A$2:$A$9,0))&gt;ROW(),"Pre","Post")))</f>
        <v>Normal</v>
      </c>
      <c r="L453" s="11" t="str">
        <f t="array" ref="L453">IF(J453="-","-",INDEX(Event_Rumor!$E$2:$E$9,MATCH(J453,Event_Rumor!$A$2:$A$9,0)))</f>
        <v>-</v>
      </c>
    </row>
    <row r="454" spans="1:12" ht="15" customHeight="1" x14ac:dyDescent="0.3">
      <c r="A454" s="26">
        <v>45989</v>
      </c>
      <c r="B454" s="6">
        <v>17074</v>
      </c>
      <c r="C454" s="6">
        <v>17269</v>
      </c>
      <c r="D454" s="6">
        <v>16952</v>
      </c>
      <c r="E454" s="6">
        <v>17196</v>
      </c>
      <c r="F454" s="6">
        <v>25500</v>
      </c>
      <c r="G454" s="7">
        <f t="shared" ref="G454:H454" si="451">(E454-E453)/E453</f>
        <v>1.2899805619367379E-2</v>
      </c>
      <c r="H454" s="7">
        <f t="shared" si="451"/>
        <v>0.19718309859154928</v>
      </c>
      <c r="I454" s="8">
        <f>IF(COUNTIF(Event_Rumor!$B$2:$B$9,A454)&gt;0,1,0)</f>
        <v>0</v>
      </c>
      <c r="J454" s="8" t="str">
        <f t="array" ref="J45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4" s="8" t="str">
        <f t="array" ref="K454">IF(I454=1,"Event",IF(J454="-","Normal",IF(INDEX(Event_Rumor!$G$2:$G$9,MATCH(J454,Event_Rumor!$A$2:$A$9,0))&gt;ROW(),"Pre","Post")))</f>
        <v>Normal</v>
      </c>
      <c r="L454" s="11" t="str">
        <f t="array" ref="L454">IF(J454="-","-",INDEX(Event_Rumor!$E$2:$E$9,MATCH(J454,Event_Rumor!$A$2:$A$9,0)))</f>
        <v>-</v>
      </c>
    </row>
    <row r="455" spans="1:12" ht="15" customHeight="1" x14ac:dyDescent="0.3">
      <c r="A455" s="26">
        <v>45992</v>
      </c>
      <c r="B455" s="6">
        <v>17196</v>
      </c>
      <c r="C455" s="6">
        <v>17196</v>
      </c>
      <c r="D455" s="6">
        <v>16830</v>
      </c>
      <c r="E455" s="6">
        <v>17099</v>
      </c>
      <c r="F455" s="6">
        <v>61100</v>
      </c>
      <c r="G455" s="7">
        <f t="shared" ref="G455:H455" si="452">(E455-E454)/E454</f>
        <v>-5.6408467085368686E-3</v>
      </c>
      <c r="H455" s="7">
        <f t="shared" si="452"/>
        <v>1.3960784313725489</v>
      </c>
      <c r="I455" s="8">
        <f>IF(COUNTIF(Event_Rumor!$B$2:$B$9,A455)&gt;0,1,0)</f>
        <v>0</v>
      </c>
      <c r="J455" s="8" t="str">
        <f t="array" ref="J45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5" s="8" t="str">
        <f t="array" ref="K455">IF(I455=1,"Event",IF(J455="-","Normal",IF(INDEX(Event_Rumor!$G$2:$G$9,MATCH(J455,Event_Rumor!$A$2:$A$9,0))&gt;ROW(),"Pre","Post")))</f>
        <v>Normal</v>
      </c>
      <c r="L455" s="11" t="str">
        <f t="array" ref="L455">IF(J455="-","-",INDEX(Event_Rumor!$E$2:$E$9,MATCH(J455,Event_Rumor!$A$2:$A$9,0)))</f>
        <v>-</v>
      </c>
    </row>
    <row r="456" spans="1:12" ht="15" customHeight="1" x14ac:dyDescent="0.3">
      <c r="A456" s="26">
        <v>45993</v>
      </c>
      <c r="B456" s="6">
        <v>17099</v>
      </c>
      <c r="C456" s="6">
        <v>17147</v>
      </c>
      <c r="D456" s="6">
        <v>16733</v>
      </c>
      <c r="E456" s="6">
        <v>16977</v>
      </c>
      <c r="F456" s="6">
        <v>93700</v>
      </c>
      <c r="G456" s="7">
        <f t="shared" ref="G456:H456" si="453">(E456-E455)/E455</f>
        <v>-7.1349201707702203E-3</v>
      </c>
      <c r="H456" s="7">
        <f t="shared" si="453"/>
        <v>0.53355155482815053</v>
      </c>
      <c r="I456" s="8">
        <f>IF(COUNTIF(Event_Rumor!$B$2:$B$9,A456)&gt;0,1,0)</f>
        <v>0</v>
      </c>
      <c r="J456" s="8" t="str">
        <f t="array" ref="J45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6" s="8" t="str">
        <f t="array" ref="K456">IF(I456=1,"Event",IF(J456="-","Normal",IF(INDEX(Event_Rumor!$G$2:$G$9,MATCH(J456,Event_Rumor!$A$2:$A$9,0))&gt;ROW(),"Pre","Post")))</f>
        <v>Normal</v>
      </c>
      <c r="L456" s="11" t="str">
        <f t="array" ref="L456">IF(J456="-","-",INDEX(Event_Rumor!$E$2:$E$9,MATCH(J456,Event_Rumor!$A$2:$A$9,0)))</f>
        <v>-</v>
      </c>
    </row>
    <row r="457" spans="1:12" ht="15" customHeight="1" x14ac:dyDescent="0.3">
      <c r="A457" s="26">
        <v>45994</v>
      </c>
      <c r="B457" s="6">
        <v>16977</v>
      </c>
      <c r="C457" s="6">
        <v>17074</v>
      </c>
      <c r="D457" s="6">
        <v>16977</v>
      </c>
      <c r="E457" s="6">
        <v>17074</v>
      </c>
      <c r="F457" s="6">
        <v>5500</v>
      </c>
      <c r="G457" s="7">
        <f t="shared" ref="G457:H457" si="454">(E457-E456)/E456</f>
        <v>5.7136125346056426E-3</v>
      </c>
      <c r="H457" s="7">
        <f t="shared" si="454"/>
        <v>-0.94130202774813232</v>
      </c>
      <c r="I457" s="8">
        <f>IF(COUNTIF(Event_Rumor!$B$2:$B$9,A457)&gt;0,1,0)</f>
        <v>0</v>
      </c>
      <c r="J457" s="8" t="str">
        <f t="array" ref="J45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7" s="8" t="str">
        <f t="array" ref="K457">IF(I457=1,"Event",IF(J457="-","Normal",IF(INDEX(Event_Rumor!$G$2:$G$9,MATCH(J457,Event_Rumor!$A$2:$A$9,0))&gt;ROW(),"Pre","Post")))</f>
        <v>Normal</v>
      </c>
      <c r="L457" s="11" t="str">
        <f t="array" ref="L457">IF(J457="-","-",INDEX(Event_Rumor!$E$2:$E$9,MATCH(J457,Event_Rumor!$A$2:$A$9,0)))</f>
        <v>-</v>
      </c>
    </row>
    <row r="458" spans="1:12" ht="15" customHeight="1" x14ac:dyDescent="0.3">
      <c r="A458" s="26">
        <v>45995</v>
      </c>
      <c r="B458" s="6">
        <v>17074</v>
      </c>
      <c r="C458" s="6">
        <v>17123</v>
      </c>
      <c r="D458" s="6">
        <v>16952</v>
      </c>
      <c r="E458" s="6">
        <v>17123</v>
      </c>
      <c r="F458" s="6">
        <v>14300</v>
      </c>
      <c r="G458" s="7">
        <f t="shared" ref="G458:H458" si="455">(E458-E457)/E457</f>
        <v>2.8698606067705285E-3</v>
      </c>
      <c r="H458" s="7">
        <f t="shared" si="455"/>
        <v>1.6</v>
      </c>
      <c r="I458" s="8">
        <f>IF(COUNTIF(Event_Rumor!$B$2:$B$9,A458)&gt;0,1,0)</f>
        <v>0</v>
      </c>
      <c r="J458" s="8" t="str">
        <f t="array" ref="J45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8" s="8" t="str">
        <f t="array" ref="K458">IF(I458=1,"Event",IF(J458="-","Normal",IF(INDEX(Event_Rumor!$G$2:$G$9,MATCH(J458,Event_Rumor!$A$2:$A$9,0))&gt;ROW(),"Pre","Post")))</f>
        <v>Normal</v>
      </c>
      <c r="L458" s="11" t="str">
        <f t="array" ref="L458">IF(J458="-","-",INDEX(Event_Rumor!$E$2:$E$9,MATCH(J458,Event_Rumor!$A$2:$A$9,0)))</f>
        <v>-</v>
      </c>
    </row>
    <row r="459" spans="1:12" ht="15" customHeight="1" x14ac:dyDescent="0.3">
      <c r="A459" s="26">
        <v>45996</v>
      </c>
      <c r="B459" s="6">
        <v>17123</v>
      </c>
      <c r="C459" s="6">
        <v>17343</v>
      </c>
      <c r="D459" s="6">
        <v>17123</v>
      </c>
      <c r="E459" s="6">
        <v>17343</v>
      </c>
      <c r="F459" s="6">
        <v>26500</v>
      </c>
      <c r="G459" s="7">
        <f t="shared" ref="G459:H459" si="456">(E459-E458)/E458</f>
        <v>1.284821585002628E-2</v>
      </c>
      <c r="H459" s="7">
        <f t="shared" si="456"/>
        <v>0.85314685314685312</v>
      </c>
      <c r="I459" s="8">
        <f>IF(COUNTIF(Event_Rumor!$B$2:$B$9,A459)&gt;0,1,0)</f>
        <v>0</v>
      </c>
      <c r="J459" s="8" t="str">
        <f t="array" ref="J45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59" s="8" t="str">
        <f t="array" ref="K459">IF(I459=1,"Event",IF(J459="-","Normal",IF(INDEX(Event_Rumor!$G$2:$G$9,MATCH(J459,Event_Rumor!$A$2:$A$9,0))&gt;ROW(),"Pre","Post")))</f>
        <v>Normal</v>
      </c>
      <c r="L459" s="11" t="str">
        <f t="array" ref="L459">IF(J459="-","-",INDEX(Event_Rumor!$E$2:$E$9,MATCH(J459,Event_Rumor!$A$2:$A$9,0)))</f>
        <v>-</v>
      </c>
    </row>
    <row r="460" spans="1:12" ht="15" customHeight="1" x14ac:dyDescent="0.3">
      <c r="A460" s="26">
        <v>45999</v>
      </c>
      <c r="B460" s="6">
        <v>17343</v>
      </c>
      <c r="C460" s="6">
        <v>17343</v>
      </c>
      <c r="D460" s="6">
        <v>17123</v>
      </c>
      <c r="E460" s="6">
        <v>17294</v>
      </c>
      <c r="F460" s="6">
        <v>27500</v>
      </c>
      <c r="G460" s="7">
        <f t="shared" ref="G460:H460" si="457">(E460-E459)/E459</f>
        <v>-2.8253474024101943E-3</v>
      </c>
      <c r="H460" s="7">
        <f t="shared" si="457"/>
        <v>3.7735849056603772E-2</v>
      </c>
      <c r="I460" s="8">
        <f>IF(COUNTIF(Event_Rumor!$B$2:$B$9,A460)&gt;0,1,0)</f>
        <v>0</v>
      </c>
      <c r="J460" s="8" t="str">
        <f t="array" ref="J46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0" s="8" t="str">
        <f t="array" ref="K460">IF(I460=1,"Event",IF(J460="-","Normal",IF(INDEX(Event_Rumor!$G$2:$G$9,MATCH(J460,Event_Rumor!$A$2:$A$9,0))&gt;ROW(),"Pre","Post")))</f>
        <v>Normal</v>
      </c>
      <c r="L460" s="11" t="str">
        <f t="array" ref="L460">IF(J460="-","-",INDEX(Event_Rumor!$E$2:$E$9,MATCH(J460,Event_Rumor!$A$2:$A$9,0)))</f>
        <v>-</v>
      </c>
    </row>
    <row r="461" spans="1:12" ht="15" customHeight="1" x14ac:dyDescent="0.3">
      <c r="A461" s="26">
        <v>46000</v>
      </c>
      <c r="B461" s="6">
        <v>17294</v>
      </c>
      <c r="C461" s="6">
        <v>17294</v>
      </c>
      <c r="D461" s="6">
        <v>16757</v>
      </c>
      <c r="E461" s="6">
        <v>17074</v>
      </c>
      <c r="F461" s="6">
        <v>17300</v>
      </c>
      <c r="G461" s="7">
        <f t="shared" ref="G461:H461" si="458">(E461-E460)/E460</f>
        <v>-1.2721174973979415E-2</v>
      </c>
      <c r="H461" s="7">
        <f t="shared" si="458"/>
        <v>-0.37090909090909091</v>
      </c>
      <c r="I461" s="8">
        <f>IF(COUNTIF(Event_Rumor!$B$2:$B$9,A461)&gt;0,1,0)</f>
        <v>0</v>
      </c>
      <c r="J461" s="8" t="str">
        <f t="array" ref="J46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1" s="8" t="str">
        <f t="array" ref="K461">IF(I461=1,"Event",IF(J461="-","Normal",IF(INDEX(Event_Rumor!$G$2:$G$9,MATCH(J461,Event_Rumor!$A$2:$A$9,0))&gt;ROW(),"Pre","Post")))</f>
        <v>Normal</v>
      </c>
      <c r="L461" s="11" t="str">
        <f t="array" ref="L461">IF(J461="-","-",INDEX(Event_Rumor!$E$2:$E$9,MATCH(J461,Event_Rumor!$A$2:$A$9,0)))</f>
        <v>-</v>
      </c>
    </row>
    <row r="462" spans="1:12" ht="15" customHeight="1" x14ac:dyDescent="0.3">
      <c r="A462" s="26">
        <v>46001</v>
      </c>
      <c r="B462" s="6">
        <v>17025</v>
      </c>
      <c r="C462" s="6">
        <v>17025</v>
      </c>
      <c r="D462" s="6">
        <v>16830</v>
      </c>
      <c r="E462" s="6">
        <v>17001</v>
      </c>
      <c r="F462" s="6">
        <v>11600</v>
      </c>
      <c r="G462" s="7">
        <f t="shared" ref="G462:H462" si="459">(E462-E461)/E461</f>
        <v>-4.2755066182499704E-3</v>
      </c>
      <c r="H462" s="7">
        <f t="shared" si="459"/>
        <v>-0.32947976878612717</v>
      </c>
      <c r="I462" s="8">
        <f>IF(COUNTIF(Event_Rumor!$B$2:$B$9,A462)&gt;0,1,0)</f>
        <v>0</v>
      </c>
      <c r="J462" s="8" t="str">
        <f t="array" ref="J46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2" s="8" t="str">
        <f t="array" ref="K462">IF(I462=1,"Event",IF(J462="-","Normal",IF(INDEX(Event_Rumor!$G$2:$G$9,MATCH(J462,Event_Rumor!$A$2:$A$9,0))&gt;ROW(),"Pre","Post")))</f>
        <v>Normal</v>
      </c>
      <c r="L462" s="11" t="str">
        <f t="array" ref="L462">IF(J462="-","-",INDEX(Event_Rumor!$E$2:$E$9,MATCH(J462,Event_Rumor!$A$2:$A$9,0)))</f>
        <v>-</v>
      </c>
    </row>
    <row r="463" spans="1:12" ht="15" customHeight="1" x14ac:dyDescent="0.3">
      <c r="A463" s="26">
        <v>46002</v>
      </c>
      <c r="B463" s="6">
        <v>17001</v>
      </c>
      <c r="C463" s="6">
        <v>17001</v>
      </c>
      <c r="D463" s="6">
        <v>16830</v>
      </c>
      <c r="E463" s="6">
        <v>16830</v>
      </c>
      <c r="F463" s="6">
        <v>43500</v>
      </c>
      <c r="G463" s="7">
        <f t="shared" ref="G463:H463" si="460">(E463-E462)/E462</f>
        <v>-1.0058231868713605E-2</v>
      </c>
      <c r="H463" s="7">
        <f t="shared" si="460"/>
        <v>2.75</v>
      </c>
      <c r="I463" s="8">
        <f>IF(COUNTIF(Event_Rumor!$B$2:$B$9,A463)&gt;0,1,0)</f>
        <v>0</v>
      </c>
      <c r="J463" s="8" t="str">
        <f t="array" ref="J46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3" s="8" t="str">
        <f t="array" ref="K463">IF(I463=1,"Event",IF(J463="-","Normal",IF(INDEX(Event_Rumor!$G$2:$G$9,MATCH(J463,Event_Rumor!$A$2:$A$9,0))&gt;ROW(),"Pre","Post")))</f>
        <v>Normal</v>
      </c>
      <c r="L463" s="11" t="str">
        <f t="array" ref="L463">IF(J463="-","-",INDEX(Event_Rumor!$E$2:$E$9,MATCH(J463,Event_Rumor!$A$2:$A$9,0)))</f>
        <v>-</v>
      </c>
    </row>
    <row r="464" spans="1:12" ht="15" customHeight="1" x14ac:dyDescent="0.3">
      <c r="A464" s="26">
        <v>46003</v>
      </c>
      <c r="B464" s="6">
        <v>16782</v>
      </c>
      <c r="C464" s="6">
        <v>16952</v>
      </c>
      <c r="D464" s="6">
        <v>16782</v>
      </c>
      <c r="E464" s="6">
        <v>16830</v>
      </c>
      <c r="F464" s="6">
        <v>6700</v>
      </c>
      <c r="G464" s="7">
        <f t="shared" ref="G464:H464" si="461">(E464-E463)/E463</f>
        <v>0</v>
      </c>
      <c r="H464" s="7">
        <f t="shared" si="461"/>
        <v>-0.84597701149425286</v>
      </c>
      <c r="I464" s="8">
        <f>IF(COUNTIF(Event_Rumor!$B$2:$B$9,A464)&gt;0,1,0)</f>
        <v>0</v>
      </c>
      <c r="J464" s="8" t="str">
        <f t="array" ref="J46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4" s="8" t="str">
        <f t="array" ref="K464">IF(I464=1,"Event",IF(J464="-","Normal",IF(INDEX(Event_Rumor!$G$2:$G$9,MATCH(J464,Event_Rumor!$A$2:$A$9,0))&gt;ROW(),"Pre","Post")))</f>
        <v>Normal</v>
      </c>
      <c r="L464" s="11" t="str">
        <f t="array" ref="L464">IF(J464="-","-",INDEX(Event_Rumor!$E$2:$E$9,MATCH(J464,Event_Rumor!$A$2:$A$9,0)))</f>
        <v>-</v>
      </c>
    </row>
    <row r="465" spans="1:12" ht="15" customHeight="1" x14ac:dyDescent="0.3">
      <c r="A465" s="26">
        <v>46006</v>
      </c>
      <c r="B465" s="6">
        <v>16830</v>
      </c>
      <c r="C465" s="6">
        <v>16830</v>
      </c>
      <c r="D465" s="6">
        <v>16099</v>
      </c>
      <c r="E465" s="6">
        <v>16391</v>
      </c>
      <c r="F465" s="6">
        <v>85500</v>
      </c>
      <c r="G465" s="7">
        <f t="shared" ref="G465:H465" si="462">(E465-E464)/E464</f>
        <v>-2.6084373143196674E-2</v>
      </c>
      <c r="H465" s="7">
        <f t="shared" si="462"/>
        <v>11.761194029850746</v>
      </c>
      <c r="I465" s="8">
        <f>IF(COUNTIF(Event_Rumor!$B$2:$B$9,A465)&gt;0,1,0)</f>
        <v>0</v>
      </c>
      <c r="J465" s="8" t="str">
        <f t="array" ref="J46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5" s="8" t="str">
        <f t="array" ref="K465">IF(I465=1,"Event",IF(J465="-","Normal",IF(INDEX(Event_Rumor!$G$2:$G$9,MATCH(J465,Event_Rumor!$A$2:$A$9,0))&gt;ROW(),"Pre","Post")))</f>
        <v>Normal</v>
      </c>
      <c r="L465" s="11" t="str">
        <f t="array" ref="L465">IF(J465="-","-",INDEX(Event_Rumor!$E$2:$E$9,MATCH(J465,Event_Rumor!$A$2:$A$9,0)))</f>
        <v>-</v>
      </c>
    </row>
    <row r="466" spans="1:12" ht="15" customHeight="1" x14ac:dyDescent="0.3">
      <c r="A466" s="26">
        <v>46007</v>
      </c>
      <c r="B466" s="6">
        <v>16489</v>
      </c>
      <c r="C466" s="6">
        <v>16538</v>
      </c>
      <c r="D466" s="6">
        <v>16294</v>
      </c>
      <c r="E466" s="6">
        <v>16416</v>
      </c>
      <c r="F466" s="6">
        <v>118000</v>
      </c>
      <c r="G466" s="7">
        <f t="shared" ref="G466:H466" si="463">(E466-E465)/E465</f>
        <v>1.5252272588615703E-3</v>
      </c>
      <c r="H466" s="7">
        <f t="shared" si="463"/>
        <v>0.38011695906432746</v>
      </c>
      <c r="I466" s="8">
        <f>IF(COUNTIF(Event_Rumor!$B$2:$B$9,A466)&gt;0,1,0)</f>
        <v>0</v>
      </c>
      <c r="J466" s="8" t="str">
        <f t="array" ref="J46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6" s="8" t="str">
        <f t="array" ref="K466">IF(I466=1,"Event",IF(J466="-","Normal",IF(INDEX(Event_Rumor!$G$2:$G$9,MATCH(J466,Event_Rumor!$A$2:$A$9,0))&gt;ROW(),"Pre","Post")))</f>
        <v>Normal</v>
      </c>
      <c r="L466" s="11" t="str">
        <f t="array" ref="L466">IF(J466="-","-",INDEX(Event_Rumor!$E$2:$E$9,MATCH(J466,Event_Rumor!$A$2:$A$9,0)))</f>
        <v>-</v>
      </c>
    </row>
    <row r="467" spans="1:12" ht="15" customHeight="1" x14ac:dyDescent="0.3">
      <c r="A467" s="26">
        <v>46008</v>
      </c>
      <c r="B467" s="6">
        <v>16440</v>
      </c>
      <c r="C467" s="6">
        <v>16611</v>
      </c>
      <c r="D467" s="6">
        <v>15903</v>
      </c>
      <c r="E467" s="6">
        <v>16562</v>
      </c>
      <c r="F467" s="6">
        <v>116500</v>
      </c>
      <c r="G467" s="7">
        <f t="shared" ref="G467:H467" si="464">(E467-E466)/E466</f>
        <v>8.893762183235867E-3</v>
      </c>
      <c r="H467" s="7">
        <f t="shared" si="464"/>
        <v>-1.2711864406779662E-2</v>
      </c>
      <c r="I467" s="8">
        <f>IF(COUNTIF(Event_Rumor!$B$2:$B$9,A467)&gt;0,1,0)</f>
        <v>0</v>
      </c>
      <c r="J467" s="8" t="str">
        <f t="array" ref="J46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7" s="8" t="str">
        <f t="array" ref="K467">IF(I467=1,"Event",IF(J467="-","Normal",IF(INDEX(Event_Rumor!$G$2:$G$9,MATCH(J467,Event_Rumor!$A$2:$A$9,0))&gt;ROW(),"Pre","Post")))</f>
        <v>Normal</v>
      </c>
      <c r="L467" s="11" t="str">
        <f t="array" ref="L467">IF(J467="-","-",INDEX(Event_Rumor!$E$2:$E$9,MATCH(J467,Event_Rumor!$A$2:$A$9,0)))</f>
        <v>-</v>
      </c>
    </row>
    <row r="468" spans="1:12" ht="15" customHeight="1" x14ac:dyDescent="0.3">
      <c r="A468" s="26">
        <v>46009</v>
      </c>
      <c r="B468" s="6">
        <v>16562</v>
      </c>
      <c r="C468" s="6">
        <v>16562</v>
      </c>
      <c r="D468" s="6">
        <v>16147</v>
      </c>
      <c r="E468" s="6">
        <v>16221</v>
      </c>
      <c r="F468" s="6">
        <v>24400</v>
      </c>
      <c r="G468" s="7">
        <f t="shared" ref="G468:H468" si="465">(E468-E467)/E467</f>
        <v>-2.0589300809081029E-2</v>
      </c>
      <c r="H468" s="7">
        <f t="shared" si="465"/>
        <v>-0.79055793991416312</v>
      </c>
      <c r="I468" s="8">
        <f>IF(COUNTIF(Event_Rumor!$B$2:$B$9,A468)&gt;0,1,0)</f>
        <v>0</v>
      </c>
      <c r="J468" s="8" t="str">
        <f t="array" ref="J46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8" s="8" t="str">
        <f t="array" ref="K468">IF(I468=1,"Event",IF(J468="-","Normal",IF(INDEX(Event_Rumor!$G$2:$G$9,MATCH(J468,Event_Rumor!$A$2:$A$9,0))&gt;ROW(),"Pre","Post")))</f>
        <v>Normal</v>
      </c>
      <c r="L468" s="11" t="str">
        <f t="array" ref="L468">IF(J468="-","-",INDEX(Event_Rumor!$E$2:$E$9,MATCH(J468,Event_Rumor!$A$2:$A$9,0)))</f>
        <v>-</v>
      </c>
    </row>
    <row r="469" spans="1:12" ht="15" customHeight="1" x14ac:dyDescent="0.3">
      <c r="A469" s="26">
        <v>46010</v>
      </c>
      <c r="B469" s="6">
        <v>16245</v>
      </c>
      <c r="C469" s="6">
        <v>16245</v>
      </c>
      <c r="D469" s="6">
        <v>15562</v>
      </c>
      <c r="E469" s="6">
        <v>15562</v>
      </c>
      <c r="F469" s="6">
        <v>141200</v>
      </c>
      <c r="G469" s="7">
        <f t="shared" ref="G469:H469" si="466">(E469-E468)/E468</f>
        <v>-4.0626348560507987E-2</v>
      </c>
      <c r="H469" s="7">
        <f t="shared" si="466"/>
        <v>4.7868852459016393</v>
      </c>
      <c r="I469" s="8">
        <f>IF(COUNTIF(Event_Rumor!$B$2:$B$9,A469)&gt;0,1,0)</f>
        <v>0</v>
      </c>
      <c r="J469" s="8" t="str">
        <f t="array" ref="J46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69" s="8" t="str">
        <f t="array" ref="K469">IF(I469=1,"Event",IF(J469="-","Normal",IF(INDEX(Event_Rumor!$G$2:$G$9,MATCH(J469,Event_Rumor!$A$2:$A$9,0))&gt;ROW(),"Pre","Post")))</f>
        <v>Normal</v>
      </c>
      <c r="L469" s="11" t="str">
        <f t="array" ref="L469">IF(J469="-","-",INDEX(Event_Rumor!$E$2:$E$9,MATCH(J469,Event_Rumor!$A$2:$A$9,0)))</f>
        <v>-</v>
      </c>
    </row>
    <row r="470" spans="1:12" ht="15" customHeight="1" x14ac:dyDescent="0.3">
      <c r="A470" s="26">
        <v>46013</v>
      </c>
      <c r="B470" s="6">
        <v>15562</v>
      </c>
      <c r="C470" s="6">
        <v>15611</v>
      </c>
      <c r="D470" s="6">
        <v>15562</v>
      </c>
      <c r="E470" s="6">
        <v>15586</v>
      </c>
      <c r="F470" s="6">
        <v>20500</v>
      </c>
      <c r="G470" s="7">
        <f t="shared" ref="G470:H470" si="467">(E470-E469)/E469</f>
        <v>1.5422182238786788E-3</v>
      </c>
      <c r="H470" s="7">
        <f t="shared" si="467"/>
        <v>-0.85481586402266285</v>
      </c>
      <c r="I470" s="8">
        <f>IF(COUNTIF(Event_Rumor!$B$2:$B$9,A470)&gt;0,1,0)</f>
        <v>0</v>
      </c>
      <c r="J470" s="8" t="str">
        <f t="array" ref="J47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0" s="8" t="str">
        <f t="array" ref="K470">IF(I470=1,"Event",IF(J470="-","Normal",IF(INDEX(Event_Rumor!$G$2:$G$9,MATCH(J470,Event_Rumor!$A$2:$A$9,0))&gt;ROW(),"Pre","Post")))</f>
        <v>Normal</v>
      </c>
      <c r="L470" s="11" t="str">
        <f t="array" ref="L470">IF(J470="-","-",INDEX(Event_Rumor!$E$2:$E$9,MATCH(J470,Event_Rumor!$A$2:$A$9,0)))</f>
        <v>-</v>
      </c>
    </row>
    <row r="471" spans="1:12" ht="15" customHeight="1" x14ac:dyDescent="0.3">
      <c r="A471" s="26">
        <v>46014</v>
      </c>
      <c r="B471" s="6">
        <v>15611</v>
      </c>
      <c r="C471" s="6">
        <v>15611</v>
      </c>
      <c r="D471" s="6">
        <v>15098</v>
      </c>
      <c r="E471" s="6">
        <v>15440</v>
      </c>
      <c r="F471" s="6">
        <v>70200</v>
      </c>
      <c r="G471" s="7">
        <f t="shared" ref="G471:H471" si="468">(E471-E470)/E470</f>
        <v>-9.3673809829334011E-3</v>
      </c>
      <c r="H471" s="7">
        <f t="shared" si="468"/>
        <v>2.424390243902439</v>
      </c>
      <c r="I471" s="8">
        <f>IF(COUNTIF(Event_Rumor!$B$2:$B$9,A471)&gt;0,1,0)</f>
        <v>0</v>
      </c>
      <c r="J471" s="8" t="str">
        <f t="array" ref="J47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1" s="8" t="str">
        <f t="array" ref="K471">IF(I471=1,"Event",IF(J471="-","Normal",IF(INDEX(Event_Rumor!$G$2:$G$9,MATCH(J471,Event_Rumor!$A$2:$A$9,0))&gt;ROW(),"Pre","Post")))</f>
        <v>Normal</v>
      </c>
      <c r="L471" s="11" t="str">
        <f t="array" ref="L471">IF(J471="-","-",INDEX(Event_Rumor!$E$2:$E$9,MATCH(J471,Event_Rumor!$A$2:$A$9,0)))</f>
        <v>-</v>
      </c>
    </row>
    <row r="472" spans="1:12" ht="15" customHeight="1" x14ac:dyDescent="0.3">
      <c r="A472" s="26">
        <v>46015</v>
      </c>
      <c r="B472" s="6">
        <v>15562</v>
      </c>
      <c r="C472" s="6">
        <v>15562</v>
      </c>
      <c r="D472" s="6">
        <v>15245</v>
      </c>
      <c r="E472" s="6">
        <v>15269</v>
      </c>
      <c r="F472" s="6">
        <v>21600</v>
      </c>
      <c r="G472" s="7">
        <f t="shared" ref="G472:H472" si="469">(E472-E471)/E471</f>
        <v>-1.1075129533678757E-2</v>
      </c>
      <c r="H472" s="7">
        <f t="shared" si="469"/>
        <v>-0.69230769230769229</v>
      </c>
      <c r="I472" s="8">
        <f>IF(COUNTIF(Event_Rumor!$B$2:$B$9,A472)&gt;0,1,0)</f>
        <v>0</v>
      </c>
      <c r="J472" s="8" t="str">
        <f t="array" ref="J47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2" s="8" t="str">
        <f t="array" ref="K472">IF(I472=1,"Event",IF(J472="-","Normal",IF(INDEX(Event_Rumor!$G$2:$G$9,MATCH(J472,Event_Rumor!$A$2:$A$9,0))&gt;ROW(),"Pre","Post")))</f>
        <v>Normal</v>
      </c>
      <c r="L472" s="11" t="str">
        <f t="array" ref="L472">IF(J472="-","-",INDEX(Event_Rumor!$E$2:$E$9,MATCH(J472,Event_Rumor!$A$2:$A$9,0)))</f>
        <v>-</v>
      </c>
    </row>
    <row r="473" spans="1:12" ht="15" customHeight="1" x14ac:dyDescent="0.3">
      <c r="A473" s="26">
        <v>46020</v>
      </c>
      <c r="B473" s="6">
        <v>15220</v>
      </c>
      <c r="C473" s="6">
        <v>15513</v>
      </c>
      <c r="D473" s="6">
        <v>15220</v>
      </c>
      <c r="E473" s="6">
        <v>15391</v>
      </c>
      <c r="F473" s="6">
        <v>47300</v>
      </c>
      <c r="G473" s="7">
        <f t="shared" ref="G473:H473" si="470">(E473-E472)/E472</f>
        <v>7.9900451895998422E-3</v>
      </c>
      <c r="H473" s="7">
        <f t="shared" si="470"/>
        <v>1.1898148148148149</v>
      </c>
      <c r="I473" s="8">
        <f>IF(COUNTIF(Event_Rumor!$B$2:$B$9,A473)&gt;0,1,0)</f>
        <v>0</v>
      </c>
      <c r="J473" s="8" t="str">
        <f t="array" ref="J47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3" s="8" t="str">
        <f t="array" ref="K473">IF(I473=1,"Event",IF(J473="-","Normal",IF(INDEX(Event_Rumor!$G$2:$G$9,MATCH(J473,Event_Rumor!$A$2:$A$9,0))&gt;ROW(),"Pre","Post")))</f>
        <v>Normal</v>
      </c>
      <c r="L473" s="11" t="str">
        <f t="array" ref="L473">IF(J473="-","-",INDEX(Event_Rumor!$E$2:$E$9,MATCH(J473,Event_Rumor!$A$2:$A$9,0)))</f>
        <v>-</v>
      </c>
    </row>
    <row r="474" spans="1:12" ht="15" customHeight="1" x14ac:dyDescent="0.3">
      <c r="A474" s="26">
        <v>46021</v>
      </c>
      <c r="B474" s="6">
        <v>15391</v>
      </c>
      <c r="C474" s="6">
        <v>15611</v>
      </c>
      <c r="D474" s="6">
        <v>15294</v>
      </c>
      <c r="E474" s="6">
        <v>15318</v>
      </c>
      <c r="F474" s="6">
        <v>17900</v>
      </c>
      <c r="G474" s="7">
        <f t="shared" ref="G474:H474" si="471">(E474-E473)/E473</f>
        <v>-4.7430316418686242E-3</v>
      </c>
      <c r="H474" s="7">
        <f t="shared" si="471"/>
        <v>-0.62156448202959835</v>
      </c>
      <c r="I474" s="8">
        <f>IF(COUNTIF(Event_Rumor!$B$2:$B$9,A474)&gt;0,1,0)</f>
        <v>0</v>
      </c>
      <c r="J474" s="8" t="str">
        <f t="array" ref="J47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4" s="8" t="str">
        <f t="array" ref="K474">IF(I474=1,"Event",IF(J474="-","Normal",IF(INDEX(Event_Rumor!$G$2:$G$9,MATCH(J474,Event_Rumor!$A$2:$A$9,0))&gt;ROW(),"Pre","Post")))</f>
        <v>Normal</v>
      </c>
      <c r="L474" s="11" t="str">
        <f t="array" ref="L474">IF(J474="-","-",INDEX(Event_Rumor!$E$2:$E$9,MATCH(J474,Event_Rumor!$A$2:$A$9,0)))</f>
        <v>-</v>
      </c>
    </row>
    <row r="475" spans="1:12" ht="15" customHeight="1" x14ac:dyDescent="0.3">
      <c r="A475" s="26">
        <v>46024</v>
      </c>
      <c r="B475" s="6">
        <v>15318</v>
      </c>
      <c r="C475" s="6">
        <v>15952</v>
      </c>
      <c r="D475" s="6">
        <v>15318</v>
      </c>
      <c r="E475" s="6">
        <v>15952</v>
      </c>
      <c r="F475" s="6">
        <v>55000</v>
      </c>
      <c r="G475" s="7">
        <f t="shared" ref="G475:H475" si="472">(E475-E474)/E474</f>
        <v>4.1389215302258781E-2</v>
      </c>
      <c r="H475" s="7">
        <f t="shared" si="472"/>
        <v>2.0726256983240225</v>
      </c>
      <c r="I475" s="8">
        <f>IF(COUNTIF(Event_Rumor!$B$2:$B$9,A475)&gt;0,1,0)</f>
        <v>0</v>
      </c>
      <c r="J475" s="8" t="str">
        <f t="array" ref="J47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5" s="8" t="str">
        <f t="array" ref="K475">IF(I475=1,"Event",IF(J475="-","Normal",IF(INDEX(Event_Rumor!$G$2:$G$9,MATCH(J475,Event_Rumor!$A$2:$A$9,0))&gt;ROW(),"Pre","Post")))</f>
        <v>Normal</v>
      </c>
      <c r="L475" s="11" t="str">
        <f t="array" ref="L475">IF(J475="-","-",INDEX(Event_Rumor!$E$2:$E$9,MATCH(J475,Event_Rumor!$A$2:$A$9,0)))</f>
        <v>-</v>
      </c>
    </row>
    <row r="476" spans="1:12" ht="15" customHeight="1" x14ac:dyDescent="0.3">
      <c r="A476" s="26">
        <v>46027</v>
      </c>
      <c r="B476" s="6">
        <v>16025</v>
      </c>
      <c r="C476" s="6">
        <v>17123</v>
      </c>
      <c r="D476" s="6">
        <v>16025</v>
      </c>
      <c r="E476" s="6">
        <v>17025</v>
      </c>
      <c r="F476" s="6">
        <v>181300</v>
      </c>
      <c r="G476" s="7">
        <f t="shared" ref="G476:H476" si="473">(E476-E475)/E475</f>
        <v>6.7264292878635903E-2</v>
      </c>
      <c r="H476" s="7">
        <f t="shared" si="473"/>
        <v>2.2963636363636364</v>
      </c>
      <c r="I476" s="8">
        <f>IF(COUNTIF(Event_Rumor!$B$2:$B$9,A476)&gt;0,1,0)</f>
        <v>0</v>
      </c>
      <c r="J476" s="8" t="str">
        <f t="array" ref="J47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6" s="8" t="str">
        <f t="array" ref="K476">IF(I476=1,"Event",IF(J476="-","Normal",IF(INDEX(Event_Rumor!$G$2:$G$9,MATCH(J476,Event_Rumor!$A$2:$A$9,0))&gt;ROW(),"Pre","Post")))</f>
        <v>Normal</v>
      </c>
      <c r="L476" s="11" t="str">
        <f t="array" ref="L476">IF(J476="-","-",INDEX(Event_Rumor!$E$2:$E$9,MATCH(J476,Event_Rumor!$A$2:$A$9,0)))</f>
        <v>-</v>
      </c>
    </row>
    <row r="477" spans="1:12" ht="15" customHeight="1" x14ac:dyDescent="0.3">
      <c r="A477" s="26">
        <v>46028</v>
      </c>
      <c r="B477" s="6">
        <v>17025</v>
      </c>
      <c r="C477" s="6">
        <v>17074</v>
      </c>
      <c r="D477" s="6">
        <v>16025</v>
      </c>
      <c r="E477" s="6">
        <v>16952</v>
      </c>
      <c r="F477" s="6">
        <v>115200</v>
      </c>
      <c r="G477" s="7">
        <f t="shared" ref="G477:H477" si="474">(E477-E476)/E476</f>
        <v>-4.2878120411160058E-3</v>
      </c>
      <c r="H477" s="7">
        <f t="shared" si="474"/>
        <v>-0.36458907887479314</v>
      </c>
      <c r="I477" s="8">
        <f>IF(COUNTIF(Event_Rumor!$B$2:$B$9,A477)&gt;0,1,0)</f>
        <v>0</v>
      </c>
      <c r="J477" s="8" t="str">
        <f t="array" ref="J47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7" s="8" t="str">
        <f t="array" ref="K477">IF(I477=1,"Event",IF(J477="-","Normal",IF(INDEX(Event_Rumor!$G$2:$G$9,MATCH(J477,Event_Rumor!$A$2:$A$9,0))&gt;ROW(),"Pre","Post")))</f>
        <v>Normal</v>
      </c>
      <c r="L477" s="11" t="str">
        <f t="array" ref="L477">IF(J477="-","-",INDEX(Event_Rumor!$E$2:$E$9,MATCH(J477,Event_Rumor!$A$2:$A$9,0)))</f>
        <v>-</v>
      </c>
    </row>
    <row r="478" spans="1:12" ht="15" customHeight="1" x14ac:dyDescent="0.3">
      <c r="A478" s="26">
        <v>46029</v>
      </c>
      <c r="B478" s="6">
        <v>16952</v>
      </c>
      <c r="C478" s="6">
        <v>16977</v>
      </c>
      <c r="D478" s="6">
        <v>16562</v>
      </c>
      <c r="E478" s="6">
        <v>16708</v>
      </c>
      <c r="F478" s="6">
        <v>25100</v>
      </c>
      <c r="G478" s="7">
        <f t="shared" ref="G478:H478" si="475">(E478-E477)/E477</f>
        <v>-1.4393581878244455E-2</v>
      </c>
      <c r="H478" s="7">
        <f t="shared" si="475"/>
        <v>-0.78211805555555558</v>
      </c>
      <c r="I478" s="8">
        <f>IF(COUNTIF(Event_Rumor!$B$2:$B$9,A478)&gt;0,1,0)</f>
        <v>0</v>
      </c>
      <c r="J478" s="8" t="str">
        <f t="array" ref="J47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8" s="8" t="str">
        <f t="array" ref="K478">IF(I478=1,"Event",IF(J478="-","Normal",IF(INDEX(Event_Rumor!$G$2:$G$9,MATCH(J478,Event_Rumor!$A$2:$A$9,0))&gt;ROW(),"Pre","Post")))</f>
        <v>Normal</v>
      </c>
      <c r="L478" s="11" t="str">
        <f t="array" ref="L478">IF(J478="-","-",INDEX(Event_Rumor!$E$2:$E$9,MATCH(J478,Event_Rumor!$A$2:$A$9,0)))</f>
        <v>-</v>
      </c>
    </row>
    <row r="479" spans="1:12" ht="15" customHeight="1" x14ac:dyDescent="0.3">
      <c r="A479" s="26">
        <v>46030</v>
      </c>
      <c r="B479" s="6">
        <v>16708</v>
      </c>
      <c r="C479" s="6">
        <v>16952</v>
      </c>
      <c r="D479" s="6">
        <v>16708</v>
      </c>
      <c r="E479" s="6">
        <v>16782</v>
      </c>
      <c r="F479" s="6">
        <v>18800</v>
      </c>
      <c r="G479" s="7">
        <f t="shared" ref="G479:H479" si="476">(E479-E478)/E478</f>
        <v>4.4290160402202534E-3</v>
      </c>
      <c r="H479" s="7">
        <f t="shared" si="476"/>
        <v>-0.25099601593625498</v>
      </c>
      <c r="I479" s="8">
        <f>IF(COUNTIF(Event_Rumor!$B$2:$B$9,A479)&gt;0,1,0)</f>
        <v>0</v>
      </c>
      <c r="J479" s="8" t="str">
        <f t="array" ref="J47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79" s="8" t="str">
        <f t="array" ref="K479">IF(I479=1,"Event",IF(J479="-","Normal",IF(INDEX(Event_Rumor!$G$2:$G$9,MATCH(J479,Event_Rumor!$A$2:$A$9,0))&gt;ROW(),"Pre","Post")))</f>
        <v>Normal</v>
      </c>
      <c r="L479" s="11" t="str">
        <f t="array" ref="L479">IF(J479="-","-",INDEX(Event_Rumor!$E$2:$E$9,MATCH(J479,Event_Rumor!$A$2:$A$9,0)))</f>
        <v>-</v>
      </c>
    </row>
    <row r="480" spans="1:12" ht="15" customHeight="1" x14ac:dyDescent="0.3">
      <c r="A480" s="26">
        <v>46031</v>
      </c>
      <c r="B480" s="6">
        <v>16782</v>
      </c>
      <c r="C480" s="6">
        <v>16855</v>
      </c>
      <c r="D480" s="6">
        <v>16147</v>
      </c>
      <c r="E480" s="6">
        <v>16806</v>
      </c>
      <c r="F480" s="6">
        <v>31200</v>
      </c>
      <c r="G480" s="7">
        <f t="shared" ref="G480:H480" si="477">(E480-E479)/E479</f>
        <v>1.4301036825169824E-3</v>
      </c>
      <c r="H480" s="7">
        <f t="shared" si="477"/>
        <v>0.65957446808510634</v>
      </c>
      <c r="I480" s="8">
        <f>IF(COUNTIF(Event_Rumor!$B$2:$B$9,A480)&gt;0,1,0)</f>
        <v>0</v>
      </c>
      <c r="J480" s="8" t="str">
        <f t="array" ref="J48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0" s="8" t="str">
        <f t="array" ref="K480">IF(I480=1,"Event",IF(J480="-","Normal",IF(INDEX(Event_Rumor!$G$2:$G$9,MATCH(J480,Event_Rumor!$A$2:$A$9,0))&gt;ROW(),"Pre","Post")))</f>
        <v>Normal</v>
      </c>
      <c r="L480" s="11" t="str">
        <f t="array" ref="L480">IF(J480="-","-",INDEX(Event_Rumor!$E$2:$E$9,MATCH(J480,Event_Rumor!$A$2:$A$9,0)))</f>
        <v>-</v>
      </c>
    </row>
    <row r="481" spans="1:12" ht="15" customHeight="1" x14ac:dyDescent="0.3">
      <c r="A481" s="26">
        <v>46034</v>
      </c>
      <c r="B481" s="6">
        <v>16806</v>
      </c>
      <c r="C481" s="6">
        <v>16806</v>
      </c>
      <c r="D481" s="6">
        <v>16147</v>
      </c>
      <c r="E481" s="6">
        <v>16635</v>
      </c>
      <c r="F481" s="6">
        <v>16400</v>
      </c>
      <c r="G481" s="7">
        <f t="shared" ref="G481:H481" si="478">(E481-E480)/E480</f>
        <v>-1.017493752231346E-2</v>
      </c>
      <c r="H481" s="7">
        <f t="shared" si="478"/>
        <v>-0.47435897435897434</v>
      </c>
      <c r="I481" s="8">
        <f>IF(COUNTIF(Event_Rumor!$B$2:$B$9,A481)&gt;0,1,0)</f>
        <v>0</v>
      </c>
      <c r="J481" s="8" t="str">
        <f t="array" ref="J48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1" s="8" t="str">
        <f t="array" ref="K481">IF(I481=1,"Event",IF(J481="-","Normal",IF(INDEX(Event_Rumor!$G$2:$G$9,MATCH(J481,Event_Rumor!$A$2:$A$9,0))&gt;ROW(),"Pre","Post")))</f>
        <v>Normal</v>
      </c>
      <c r="L481" s="11" t="str">
        <f t="array" ref="L481">IF(J481="-","-",INDEX(Event_Rumor!$E$2:$E$9,MATCH(J481,Event_Rumor!$A$2:$A$9,0)))</f>
        <v>-</v>
      </c>
    </row>
    <row r="482" spans="1:12" ht="15" customHeight="1" x14ac:dyDescent="0.3">
      <c r="A482" s="26">
        <v>46035</v>
      </c>
      <c r="B482" s="6">
        <v>16635</v>
      </c>
      <c r="C482" s="6">
        <v>16684</v>
      </c>
      <c r="D482" s="6">
        <v>16294</v>
      </c>
      <c r="E482" s="6">
        <v>16684</v>
      </c>
      <c r="F482" s="6">
        <v>13400</v>
      </c>
      <c r="G482" s="7">
        <f t="shared" ref="G482:H482" si="479">(E482-E481)/E481</f>
        <v>2.9455966336038473E-3</v>
      </c>
      <c r="H482" s="7">
        <f t="shared" si="479"/>
        <v>-0.18292682926829268</v>
      </c>
      <c r="I482" s="8">
        <f>IF(COUNTIF(Event_Rumor!$B$2:$B$9,A482)&gt;0,1,0)</f>
        <v>0</v>
      </c>
      <c r="J482" s="8" t="str">
        <f t="array" ref="J48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2" s="8" t="str">
        <f t="array" ref="K482">IF(I482=1,"Event",IF(J482="-","Normal",IF(INDEX(Event_Rumor!$G$2:$G$9,MATCH(J482,Event_Rumor!$A$2:$A$9,0))&gt;ROW(),"Pre","Post")))</f>
        <v>Normal</v>
      </c>
      <c r="L482" s="11" t="str">
        <f t="array" ref="L482">IF(J482="-","-",INDEX(Event_Rumor!$E$2:$E$9,MATCH(J482,Event_Rumor!$A$2:$A$9,0)))</f>
        <v>-</v>
      </c>
    </row>
    <row r="483" spans="1:12" ht="15" customHeight="1" x14ac:dyDescent="0.3">
      <c r="A483" s="26">
        <v>46036</v>
      </c>
      <c r="B483" s="6">
        <v>16708</v>
      </c>
      <c r="C483" s="6">
        <v>16757</v>
      </c>
      <c r="D483" s="6">
        <v>16708</v>
      </c>
      <c r="E483" s="6">
        <v>16733</v>
      </c>
      <c r="F483" s="6">
        <v>14500</v>
      </c>
      <c r="G483" s="7">
        <f t="shared" ref="G483:H483" si="480">(E483-E482)/E482</f>
        <v>2.9369455766003355E-3</v>
      </c>
      <c r="H483" s="7">
        <f t="shared" si="480"/>
        <v>8.2089552238805971E-2</v>
      </c>
      <c r="I483" s="8">
        <f>IF(COUNTIF(Event_Rumor!$B$2:$B$9,A483)&gt;0,1,0)</f>
        <v>0</v>
      </c>
      <c r="J483" s="8" t="str">
        <f t="array" ref="J48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3" s="8" t="str">
        <f t="array" ref="K483">IF(I483=1,"Event",IF(J483="-","Normal",IF(INDEX(Event_Rumor!$G$2:$G$9,MATCH(J483,Event_Rumor!$A$2:$A$9,0))&gt;ROW(),"Pre","Post")))</f>
        <v>Normal</v>
      </c>
      <c r="L483" s="11" t="str">
        <f t="array" ref="L483">IF(J483="-","-",INDEX(Event_Rumor!$E$2:$E$9,MATCH(J483,Event_Rumor!$A$2:$A$9,0)))</f>
        <v>-</v>
      </c>
    </row>
    <row r="484" spans="1:12" ht="15" customHeight="1" x14ac:dyDescent="0.3">
      <c r="A484" s="26">
        <v>46037</v>
      </c>
      <c r="B484" s="6">
        <v>16733</v>
      </c>
      <c r="C484" s="6">
        <v>16733</v>
      </c>
      <c r="D484" s="6">
        <v>16586</v>
      </c>
      <c r="E484" s="6">
        <v>16733</v>
      </c>
      <c r="F484" s="6">
        <v>5600</v>
      </c>
      <c r="G484" s="7">
        <f t="shared" ref="G484:H484" si="481">(E484-E483)/E483</f>
        <v>0</v>
      </c>
      <c r="H484" s="7">
        <f t="shared" si="481"/>
        <v>-0.61379310344827587</v>
      </c>
      <c r="I484" s="8">
        <f>IF(COUNTIF(Event_Rumor!$B$2:$B$9,A484)&gt;0,1,0)</f>
        <v>0</v>
      </c>
      <c r="J484" s="8" t="str">
        <f t="array" ref="J48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4" s="8" t="str">
        <f t="array" ref="K484">IF(I484=1,"Event",IF(J484="-","Normal",IF(INDEX(Event_Rumor!$G$2:$G$9,MATCH(J484,Event_Rumor!$A$2:$A$9,0))&gt;ROW(),"Pre","Post")))</f>
        <v>Normal</v>
      </c>
      <c r="L484" s="11" t="str">
        <f t="array" ref="L484">IF(J484="-","-",INDEX(Event_Rumor!$E$2:$E$9,MATCH(J484,Event_Rumor!$A$2:$A$9,0)))</f>
        <v>-</v>
      </c>
    </row>
    <row r="485" spans="1:12" ht="15" customHeight="1" x14ac:dyDescent="0.3">
      <c r="A485" s="26">
        <v>46041</v>
      </c>
      <c r="B485" s="6">
        <v>16733</v>
      </c>
      <c r="C485" s="6">
        <v>16782</v>
      </c>
      <c r="D485" s="6">
        <v>16611</v>
      </c>
      <c r="E485" s="6">
        <v>16782</v>
      </c>
      <c r="F485" s="6">
        <v>13700</v>
      </c>
      <c r="G485" s="7">
        <f t="shared" ref="G485:H485" si="482">(E485-E484)/E484</f>
        <v>2.928345186159087E-3</v>
      </c>
      <c r="H485" s="7">
        <f t="shared" si="482"/>
        <v>1.4464285714285714</v>
      </c>
      <c r="I485" s="8">
        <f>IF(COUNTIF(Event_Rumor!$B$2:$B$9,A485)&gt;0,1,0)</f>
        <v>0</v>
      </c>
      <c r="J485" s="8" t="str">
        <f t="array" ref="J48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5" s="8" t="str">
        <f t="array" ref="K485">IF(I485=1,"Event",IF(J485="-","Normal",IF(INDEX(Event_Rumor!$G$2:$G$9,MATCH(J485,Event_Rumor!$A$2:$A$9,0))&gt;ROW(),"Pre","Post")))</f>
        <v>Normal</v>
      </c>
      <c r="L485" s="11" t="str">
        <f t="array" ref="L485">IF(J485="-","-",INDEX(Event_Rumor!$E$2:$E$9,MATCH(J485,Event_Rumor!$A$2:$A$9,0)))</f>
        <v>-</v>
      </c>
    </row>
    <row r="486" spans="1:12" ht="15" customHeight="1" x14ac:dyDescent="0.3">
      <c r="A486" s="26">
        <v>46042</v>
      </c>
      <c r="B486" s="6">
        <v>16782</v>
      </c>
      <c r="C486" s="6">
        <v>16879</v>
      </c>
      <c r="D486" s="6">
        <v>16586</v>
      </c>
      <c r="E486" s="6">
        <v>16830</v>
      </c>
      <c r="F486" s="6">
        <v>8800</v>
      </c>
      <c r="G486" s="7">
        <f t="shared" ref="G486:H486" si="483">(E486-E485)/E485</f>
        <v>2.8602073650339649E-3</v>
      </c>
      <c r="H486" s="7">
        <f t="shared" si="483"/>
        <v>-0.35766423357664234</v>
      </c>
      <c r="I486" s="8">
        <f>IF(COUNTIF(Event_Rumor!$B$2:$B$9,A486)&gt;0,1,0)</f>
        <v>0</v>
      </c>
      <c r="J486" s="8" t="str">
        <f t="array" ref="J48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6" s="8" t="str">
        <f t="array" ref="K486">IF(I486=1,"Event",IF(J486="-","Normal",IF(INDEX(Event_Rumor!$G$2:$G$9,MATCH(J486,Event_Rumor!$A$2:$A$9,0))&gt;ROW(),"Pre","Post")))</f>
        <v>Normal</v>
      </c>
      <c r="L486" s="11" t="str">
        <f t="array" ref="L486">IF(J486="-","-",INDEX(Event_Rumor!$E$2:$E$9,MATCH(J486,Event_Rumor!$A$2:$A$9,0)))</f>
        <v>-</v>
      </c>
    </row>
    <row r="487" spans="1:12" ht="15" customHeight="1" x14ac:dyDescent="0.3">
      <c r="A487" s="26">
        <v>46043</v>
      </c>
      <c r="B487" s="6">
        <v>16830</v>
      </c>
      <c r="C487" s="6">
        <v>16855</v>
      </c>
      <c r="D487" s="6">
        <v>16489</v>
      </c>
      <c r="E487" s="6">
        <v>16806</v>
      </c>
      <c r="F487" s="6">
        <v>13800</v>
      </c>
      <c r="G487" s="7">
        <f t="shared" ref="G487:H487" si="484">(E487-E486)/E486</f>
        <v>-1.4260249554367201E-3</v>
      </c>
      <c r="H487" s="7">
        <f t="shared" si="484"/>
        <v>0.56818181818181823</v>
      </c>
      <c r="I487" s="8">
        <f>IF(COUNTIF(Event_Rumor!$B$2:$B$9,A487)&gt;0,1,0)</f>
        <v>0</v>
      </c>
      <c r="J487" s="8" t="str">
        <f t="array" ref="J48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7" s="8" t="str">
        <f t="array" ref="K487">IF(I487=1,"Event",IF(J487="-","Normal",IF(INDEX(Event_Rumor!$G$2:$G$9,MATCH(J487,Event_Rumor!$A$2:$A$9,0))&gt;ROW(),"Pre","Post")))</f>
        <v>Normal</v>
      </c>
      <c r="L487" s="11" t="str">
        <f t="array" ref="L487">IF(J487="-","-",INDEX(Event_Rumor!$E$2:$E$9,MATCH(J487,Event_Rumor!$A$2:$A$9,0)))</f>
        <v>-</v>
      </c>
    </row>
    <row r="488" spans="1:12" ht="15" customHeight="1" x14ac:dyDescent="0.3">
      <c r="A488" s="26">
        <v>46044</v>
      </c>
      <c r="B488" s="6">
        <v>16538</v>
      </c>
      <c r="C488" s="6">
        <v>16806</v>
      </c>
      <c r="D488" s="6">
        <v>16538</v>
      </c>
      <c r="E488" s="6">
        <v>16708</v>
      </c>
      <c r="F488" s="6">
        <v>9100</v>
      </c>
      <c r="G488" s="7">
        <f t="shared" ref="G488:H488" si="485">(E488-E487)/E487</f>
        <v>-5.8312507437819827E-3</v>
      </c>
      <c r="H488" s="7">
        <f t="shared" si="485"/>
        <v>-0.34057971014492755</v>
      </c>
      <c r="I488" s="8">
        <f>IF(COUNTIF(Event_Rumor!$B$2:$B$9,A488)&gt;0,1,0)</f>
        <v>0</v>
      </c>
      <c r="J488" s="8" t="str">
        <f t="array" ref="J48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8" s="8" t="str">
        <f t="array" ref="K488">IF(I488=1,"Event",IF(J488="-","Normal",IF(INDEX(Event_Rumor!$G$2:$G$9,MATCH(J488,Event_Rumor!$A$2:$A$9,0))&gt;ROW(),"Pre","Post")))</f>
        <v>Normal</v>
      </c>
      <c r="L488" s="11" t="str">
        <f t="array" ref="L488">IF(J488="-","-",INDEX(Event_Rumor!$E$2:$E$9,MATCH(J488,Event_Rumor!$A$2:$A$9,0)))</f>
        <v>-</v>
      </c>
    </row>
    <row r="489" spans="1:12" ht="15" customHeight="1" x14ac:dyDescent="0.3">
      <c r="A489" s="26">
        <v>46045</v>
      </c>
      <c r="B489" s="6">
        <v>16733</v>
      </c>
      <c r="C489" s="6">
        <v>16733</v>
      </c>
      <c r="D489" s="6">
        <v>16489</v>
      </c>
      <c r="E489" s="6">
        <v>16586</v>
      </c>
      <c r="F489" s="6">
        <v>14700</v>
      </c>
      <c r="G489" s="7">
        <f t="shared" ref="G489:H489" si="486">(E489-E488)/E488</f>
        <v>-7.3018913095523105E-3</v>
      </c>
      <c r="H489" s="7">
        <f t="shared" si="486"/>
        <v>0.61538461538461542</v>
      </c>
      <c r="I489" s="8">
        <f>IF(COUNTIF(Event_Rumor!$B$2:$B$9,A489)&gt;0,1,0)</f>
        <v>0</v>
      </c>
      <c r="J489" s="8" t="str">
        <f t="array" ref="J48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89" s="8" t="str">
        <f t="array" ref="K489">IF(I489=1,"Event",IF(J489="-","Normal",IF(INDEX(Event_Rumor!$G$2:$G$9,MATCH(J489,Event_Rumor!$A$2:$A$9,0))&gt;ROW(),"Pre","Post")))</f>
        <v>Normal</v>
      </c>
      <c r="L489" s="11" t="str">
        <f t="array" ref="L489">IF(J489="-","-",INDEX(Event_Rumor!$E$2:$E$9,MATCH(J489,Event_Rumor!$A$2:$A$9,0)))</f>
        <v>-</v>
      </c>
    </row>
    <row r="490" spans="1:12" ht="15" customHeight="1" x14ac:dyDescent="0.3">
      <c r="A490" s="26">
        <v>46048</v>
      </c>
      <c r="B490" s="6">
        <v>16586</v>
      </c>
      <c r="C490" s="6">
        <v>16586</v>
      </c>
      <c r="D490" s="6">
        <v>16172</v>
      </c>
      <c r="E490" s="6">
        <v>16245</v>
      </c>
      <c r="F490" s="6">
        <v>48600</v>
      </c>
      <c r="G490" s="7">
        <f t="shared" ref="G490:H490" si="487">(E490-E489)/E489</f>
        <v>-2.0559508018811047E-2</v>
      </c>
      <c r="H490" s="7">
        <f t="shared" si="487"/>
        <v>2.306122448979592</v>
      </c>
      <c r="I490" s="8">
        <f>IF(COUNTIF(Event_Rumor!$B$2:$B$9,A490)&gt;0,1,0)</f>
        <v>0</v>
      </c>
      <c r="J490" s="8" t="str">
        <f t="array" ref="J49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0" s="8" t="str">
        <f t="array" ref="K490">IF(I490=1,"Event",IF(J490="-","Normal",IF(INDEX(Event_Rumor!$G$2:$G$9,MATCH(J490,Event_Rumor!$A$2:$A$9,0))&gt;ROW(),"Pre","Post")))</f>
        <v>Normal</v>
      </c>
      <c r="L490" s="11" t="str">
        <f t="array" ref="L490">IF(J490="-","-",INDEX(Event_Rumor!$E$2:$E$9,MATCH(J490,Event_Rumor!$A$2:$A$9,0)))</f>
        <v>-</v>
      </c>
    </row>
    <row r="491" spans="1:12" ht="15" customHeight="1" x14ac:dyDescent="0.3">
      <c r="A491" s="26">
        <v>46049</v>
      </c>
      <c r="B491" s="6">
        <v>16269</v>
      </c>
      <c r="C491" s="6">
        <v>16269</v>
      </c>
      <c r="D491" s="6">
        <v>16099</v>
      </c>
      <c r="E491" s="6">
        <v>16196</v>
      </c>
      <c r="F491" s="6">
        <v>6900</v>
      </c>
      <c r="G491" s="7">
        <f t="shared" ref="G491:H491" si="488">(E491-E490)/E490</f>
        <v>-3.0163127116035705E-3</v>
      </c>
      <c r="H491" s="7">
        <f t="shared" si="488"/>
        <v>-0.85802469135802473</v>
      </c>
      <c r="I491" s="8">
        <f>IF(COUNTIF(Event_Rumor!$B$2:$B$9,A491)&gt;0,1,0)</f>
        <v>0</v>
      </c>
      <c r="J491" s="8" t="str">
        <f t="array" ref="J49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1" s="8" t="str">
        <f t="array" ref="K491">IF(I491=1,"Event",IF(J491="-","Normal",IF(INDEX(Event_Rumor!$G$2:$G$9,MATCH(J491,Event_Rumor!$A$2:$A$9,0))&gt;ROW(),"Pre","Post")))</f>
        <v>Normal</v>
      </c>
      <c r="L491" s="11" t="str">
        <f t="array" ref="L491">IF(J491="-","-",INDEX(Event_Rumor!$E$2:$E$9,MATCH(J491,Event_Rumor!$A$2:$A$9,0)))</f>
        <v>-</v>
      </c>
    </row>
    <row r="492" spans="1:12" ht="15" customHeight="1" x14ac:dyDescent="0.3">
      <c r="A492" s="26">
        <v>46050</v>
      </c>
      <c r="B492" s="6">
        <v>13952</v>
      </c>
      <c r="C492" s="6">
        <v>16099</v>
      </c>
      <c r="D492" s="6">
        <v>13952</v>
      </c>
      <c r="E492" s="6">
        <v>15611</v>
      </c>
      <c r="F492" s="6">
        <v>90100</v>
      </c>
      <c r="G492" s="7">
        <f t="shared" ref="G492:H492" si="489">(E492-E491)/E491</f>
        <v>-3.6120029636947396E-2</v>
      </c>
      <c r="H492" s="7">
        <f t="shared" si="489"/>
        <v>12.057971014492754</v>
      </c>
      <c r="I492" s="8">
        <f>IF(COUNTIF(Event_Rumor!$B$2:$B$9,A492)&gt;0,1,0)</f>
        <v>0</v>
      </c>
      <c r="J492" s="8" t="str">
        <f t="array" ref="J49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2" s="8" t="str">
        <f t="array" ref="K492">IF(I492=1,"Event",IF(J492="-","Normal",IF(INDEX(Event_Rumor!$G$2:$G$9,MATCH(J492,Event_Rumor!$A$2:$A$9,0))&gt;ROW(),"Pre","Post")))</f>
        <v>Normal</v>
      </c>
      <c r="L492" s="11" t="str">
        <f t="array" ref="L492">IF(J492="-","-",INDEX(Event_Rumor!$E$2:$E$9,MATCH(J492,Event_Rumor!$A$2:$A$9,0)))</f>
        <v>-</v>
      </c>
    </row>
    <row r="493" spans="1:12" ht="15" customHeight="1" x14ac:dyDescent="0.3">
      <c r="A493" s="26">
        <v>46051</v>
      </c>
      <c r="B493" s="6">
        <v>15562</v>
      </c>
      <c r="C493" s="6">
        <v>15562</v>
      </c>
      <c r="D493" s="6">
        <v>14635</v>
      </c>
      <c r="E493" s="6">
        <v>15342</v>
      </c>
      <c r="F493" s="6">
        <v>51900</v>
      </c>
      <c r="G493" s="7">
        <f t="shared" ref="G493:H493" si="490">(E493-E492)/E492</f>
        <v>-1.7231439369675229E-2</v>
      </c>
      <c r="H493" s="7">
        <f t="shared" si="490"/>
        <v>-0.4239733629300777</v>
      </c>
      <c r="I493" s="8">
        <f>IF(COUNTIF(Event_Rumor!$B$2:$B$9,A493)&gt;0,1,0)</f>
        <v>0</v>
      </c>
      <c r="J493" s="8" t="str">
        <f t="array" ref="J49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3" s="8" t="str">
        <f t="array" ref="K493">IF(I493=1,"Event",IF(J493="-","Normal",IF(INDEX(Event_Rumor!$G$2:$G$9,MATCH(J493,Event_Rumor!$A$2:$A$9,0))&gt;ROW(),"Pre","Post")))</f>
        <v>Normal</v>
      </c>
      <c r="L493" s="11" t="str">
        <f t="array" ref="L493">IF(J493="-","-",INDEX(Event_Rumor!$E$2:$E$9,MATCH(J493,Event_Rumor!$A$2:$A$9,0)))</f>
        <v>-</v>
      </c>
    </row>
    <row r="494" spans="1:12" ht="15" customHeight="1" x14ac:dyDescent="0.3">
      <c r="A494" s="26">
        <v>46052</v>
      </c>
      <c r="B494" s="6">
        <v>15342</v>
      </c>
      <c r="C494" s="6">
        <v>15781</v>
      </c>
      <c r="D494" s="6">
        <v>15342</v>
      </c>
      <c r="E494" s="6">
        <v>15367</v>
      </c>
      <c r="F494" s="6">
        <v>30100</v>
      </c>
      <c r="G494" s="7">
        <f t="shared" ref="G494:H494" si="491">(E494-E493)/E493</f>
        <v>1.6295137530960761E-3</v>
      </c>
      <c r="H494" s="7">
        <f t="shared" si="491"/>
        <v>-0.42003853564547206</v>
      </c>
      <c r="I494" s="8">
        <f>IF(COUNTIF(Event_Rumor!$B$2:$B$9,A494)&gt;0,1,0)</f>
        <v>0</v>
      </c>
      <c r="J494" s="8" t="str">
        <f t="array" ref="J49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4" s="8" t="str">
        <f t="array" ref="K494">IF(I494=1,"Event",IF(J494="-","Normal",IF(INDEX(Event_Rumor!$G$2:$G$9,MATCH(J494,Event_Rumor!$A$2:$A$9,0))&gt;ROW(),"Pre","Post")))</f>
        <v>Normal</v>
      </c>
      <c r="L494" s="11" t="str">
        <f t="array" ref="L494">IF(J494="-","-",INDEX(Event_Rumor!$E$2:$E$9,MATCH(J494,Event_Rumor!$A$2:$A$9,0)))</f>
        <v>-</v>
      </c>
    </row>
    <row r="495" spans="1:12" ht="15" customHeight="1" x14ac:dyDescent="0.3">
      <c r="A495" s="26">
        <v>46055</v>
      </c>
      <c r="B495" s="6">
        <v>15489</v>
      </c>
      <c r="C495" s="6">
        <v>15489</v>
      </c>
      <c r="D495" s="6">
        <v>14806</v>
      </c>
      <c r="E495" s="6">
        <v>14928</v>
      </c>
      <c r="F495" s="6">
        <v>41300</v>
      </c>
      <c r="G495" s="7">
        <f t="shared" ref="G495:H495" si="492">(E495-E494)/E494</f>
        <v>-2.856771002798204E-2</v>
      </c>
      <c r="H495" s="7">
        <f t="shared" si="492"/>
        <v>0.37209302325581395</v>
      </c>
      <c r="I495" s="8">
        <f>IF(COUNTIF(Event_Rumor!$B$2:$B$9,A495)&gt;0,1,0)</f>
        <v>0</v>
      </c>
      <c r="J495" s="8" t="str">
        <f t="array" ref="J49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5" s="8" t="str">
        <f t="array" ref="K495">IF(I495=1,"Event",IF(J495="-","Normal",IF(INDEX(Event_Rumor!$G$2:$G$9,MATCH(J495,Event_Rumor!$A$2:$A$9,0))&gt;ROW(),"Pre","Post")))</f>
        <v>Normal</v>
      </c>
      <c r="L495" s="11" t="str">
        <f t="array" ref="L495">IF(J495="-","-",INDEX(Event_Rumor!$E$2:$E$9,MATCH(J495,Event_Rumor!$A$2:$A$9,0)))</f>
        <v>-</v>
      </c>
    </row>
    <row r="496" spans="1:12" ht="15" customHeight="1" x14ac:dyDescent="0.3">
      <c r="A496" s="26">
        <v>46056</v>
      </c>
      <c r="B496" s="6">
        <v>14928</v>
      </c>
      <c r="C496" s="6">
        <v>15220</v>
      </c>
      <c r="D496" s="6">
        <v>14635</v>
      </c>
      <c r="E496" s="6">
        <v>14659</v>
      </c>
      <c r="F496" s="6">
        <v>122800</v>
      </c>
      <c r="G496" s="7">
        <f t="shared" ref="G496:H496" si="493">(E496-E495)/E495</f>
        <v>-1.8019828510182207E-2</v>
      </c>
      <c r="H496" s="7">
        <f t="shared" si="493"/>
        <v>1.973365617433414</v>
      </c>
      <c r="I496" s="8">
        <f>IF(COUNTIF(Event_Rumor!$B$2:$B$9,A496)&gt;0,1,0)</f>
        <v>0</v>
      </c>
      <c r="J496" s="8" t="str">
        <f t="array" ref="J49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6" s="8" t="str">
        <f t="array" ref="K496">IF(I496=1,"Event",IF(J496="-","Normal",IF(INDEX(Event_Rumor!$G$2:$G$9,MATCH(J496,Event_Rumor!$A$2:$A$9,0))&gt;ROW(),"Pre","Post")))</f>
        <v>Normal</v>
      </c>
      <c r="L496" s="11" t="str">
        <f t="array" ref="L496">IF(J496="-","-",INDEX(Event_Rumor!$E$2:$E$9,MATCH(J496,Event_Rumor!$A$2:$A$9,0)))</f>
        <v>-</v>
      </c>
    </row>
    <row r="497" spans="1:12" ht="15" customHeight="1" x14ac:dyDescent="0.3">
      <c r="A497" s="26">
        <v>46057</v>
      </c>
      <c r="B497" s="6">
        <v>14659</v>
      </c>
      <c r="C497" s="6">
        <v>14708</v>
      </c>
      <c r="D497" s="6">
        <v>14367</v>
      </c>
      <c r="E497" s="6">
        <v>14635</v>
      </c>
      <c r="F497" s="6">
        <v>97200</v>
      </c>
      <c r="G497" s="7">
        <f t="shared" ref="G497:H497" si="494">(E497-E496)/E496</f>
        <v>-1.637219455624531E-3</v>
      </c>
      <c r="H497" s="7">
        <f t="shared" si="494"/>
        <v>-0.20846905537459284</v>
      </c>
      <c r="I497" s="8">
        <f>IF(COUNTIF(Event_Rumor!$B$2:$B$9,A497)&gt;0,1,0)</f>
        <v>0</v>
      </c>
      <c r="J497" s="8" t="str">
        <f t="array" ref="J49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7" s="8" t="str">
        <f t="array" ref="K497">IF(I497=1,"Event",IF(J497="-","Normal",IF(INDEX(Event_Rumor!$G$2:$G$9,MATCH(J497,Event_Rumor!$A$2:$A$9,0))&gt;ROW(),"Pre","Post")))</f>
        <v>Normal</v>
      </c>
      <c r="L497" s="11" t="str">
        <f t="array" ref="L497">IF(J497="-","-",INDEX(Event_Rumor!$E$2:$E$9,MATCH(J497,Event_Rumor!$A$2:$A$9,0)))</f>
        <v>-</v>
      </c>
    </row>
    <row r="498" spans="1:12" ht="15" customHeight="1" x14ac:dyDescent="0.3">
      <c r="A498" s="26">
        <v>46058</v>
      </c>
      <c r="B498" s="6">
        <v>14635</v>
      </c>
      <c r="C498" s="6">
        <v>14635</v>
      </c>
      <c r="D498" s="6">
        <v>14440</v>
      </c>
      <c r="E498" s="6">
        <v>14562</v>
      </c>
      <c r="F498" s="6">
        <v>80800</v>
      </c>
      <c r="G498" s="7">
        <f t="shared" ref="G498:H498" si="495">(E498-E497)/E497</f>
        <v>-4.9880423641954219E-3</v>
      </c>
      <c r="H498" s="7">
        <f t="shared" si="495"/>
        <v>-0.16872427983539096</v>
      </c>
      <c r="I498" s="8">
        <f>IF(COUNTIF(Event_Rumor!$B$2:$B$9,A498)&gt;0,1,0)</f>
        <v>0</v>
      </c>
      <c r="J498" s="8" t="str">
        <f t="array" ref="J49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8" s="8" t="str">
        <f t="array" ref="K498">IF(I498=1,"Event",IF(J498="-","Normal",IF(INDEX(Event_Rumor!$G$2:$G$9,MATCH(J498,Event_Rumor!$A$2:$A$9,0))&gt;ROW(),"Pre","Post")))</f>
        <v>Normal</v>
      </c>
      <c r="L498" s="11" t="str">
        <f t="array" ref="L498">IF(J498="-","-",INDEX(Event_Rumor!$E$2:$E$9,MATCH(J498,Event_Rumor!$A$2:$A$9,0)))</f>
        <v>-</v>
      </c>
    </row>
    <row r="499" spans="1:12" ht="15" customHeight="1" x14ac:dyDescent="0.3">
      <c r="A499" s="26">
        <v>46059</v>
      </c>
      <c r="B499" s="6">
        <v>14562</v>
      </c>
      <c r="C499" s="6">
        <v>14562</v>
      </c>
      <c r="D499" s="6">
        <v>14196</v>
      </c>
      <c r="E499" s="6">
        <v>14220</v>
      </c>
      <c r="F499" s="6">
        <v>26700</v>
      </c>
      <c r="G499" s="7">
        <f t="shared" ref="G499:H499" si="496">(E499-E498)/E498</f>
        <v>-2.3485784919653894E-2</v>
      </c>
      <c r="H499" s="7">
        <f t="shared" si="496"/>
        <v>-0.66955445544554459</v>
      </c>
      <c r="I499" s="8">
        <f>IF(COUNTIF(Event_Rumor!$B$2:$B$9,A499)&gt;0,1,0)</f>
        <v>0</v>
      </c>
      <c r="J499" s="8" t="str">
        <f t="array" ref="J49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499" s="8" t="str">
        <f t="array" ref="K499">IF(I499=1,"Event",IF(J499="-","Normal",IF(INDEX(Event_Rumor!$G$2:$G$9,MATCH(J499,Event_Rumor!$A$2:$A$9,0))&gt;ROW(),"Pre","Post")))</f>
        <v>Normal</v>
      </c>
      <c r="L499" s="11" t="str">
        <f t="array" ref="L499">IF(J499="-","-",INDEX(Event_Rumor!$E$2:$E$9,MATCH(J499,Event_Rumor!$A$2:$A$9,0)))</f>
        <v>-</v>
      </c>
    </row>
    <row r="500" spans="1:12" ht="15" customHeight="1" x14ac:dyDescent="0.3">
      <c r="A500" s="26">
        <v>46062</v>
      </c>
      <c r="B500" s="6">
        <v>14196</v>
      </c>
      <c r="C500" s="6">
        <v>14196</v>
      </c>
      <c r="D500" s="6">
        <v>13903</v>
      </c>
      <c r="E500" s="6">
        <v>13976</v>
      </c>
      <c r="F500" s="6">
        <v>56800</v>
      </c>
      <c r="G500" s="7">
        <f t="shared" ref="G500:H500" si="497">(E500-E499)/E499</f>
        <v>-1.7158931082981718E-2</v>
      </c>
      <c r="H500" s="7">
        <f t="shared" si="497"/>
        <v>1.1273408239700375</v>
      </c>
      <c r="I500" s="8">
        <f>IF(COUNTIF(Event_Rumor!$B$2:$B$9,A500)&gt;0,1,0)</f>
        <v>0</v>
      </c>
      <c r="J500" s="8" t="str">
        <f t="array" ref="J50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0" s="8" t="str">
        <f t="array" ref="K500">IF(I500=1,"Event",IF(J500="-","Normal",IF(INDEX(Event_Rumor!$G$2:$G$9,MATCH(J500,Event_Rumor!$A$2:$A$9,0))&gt;ROW(),"Pre","Post")))</f>
        <v>Normal</v>
      </c>
      <c r="L500" s="11" t="str">
        <f t="array" ref="L500">IF(J500="-","-",INDEX(Event_Rumor!$E$2:$E$9,MATCH(J500,Event_Rumor!$A$2:$A$9,0)))</f>
        <v>-</v>
      </c>
    </row>
    <row r="501" spans="1:12" ht="15" customHeight="1" x14ac:dyDescent="0.3">
      <c r="A501" s="26">
        <v>46063</v>
      </c>
      <c r="B501" s="6">
        <v>13976</v>
      </c>
      <c r="C501" s="6">
        <v>14050</v>
      </c>
      <c r="D501" s="6">
        <v>13781</v>
      </c>
      <c r="E501" s="6">
        <v>13806</v>
      </c>
      <c r="F501" s="6">
        <v>110400</v>
      </c>
      <c r="G501" s="7">
        <f t="shared" ref="G501:H501" si="498">(E501-E500)/E500</f>
        <v>-1.2163709215798511E-2</v>
      </c>
      <c r="H501" s="7">
        <f t="shared" si="498"/>
        <v>0.94366197183098588</v>
      </c>
      <c r="I501" s="8">
        <f>IF(COUNTIF(Event_Rumor!$B$2:$B$9,A501)&gt;0,1,0)</f>
        <v>0</v>
      </c>
      <c r="J501" s="8" t="str">
        <f t="array" ref="J50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1" s="8" t="str">
        <f t="array" ref="K501">IF(I501=1,"Event",IF(J501="-","Normal",IF(INDEX(Event_Rumor!$G$2:$G$9,MATCH(J501,Event_Rumor!$A$2:$A$9,0))&gt;ROW(),"Pre","Post")))</f>
        <v>Normal</v>
      </c>
      <c r="L501" s="11" t="str">
        <f t="array" ref="L501">IF(J501="-","-",INDEX(Event_Rumor!$E$2:$E$9,MATCH(J501,Event_Rumor!$A$2:$A$9,0)))</f>
        <v>-</v>
      </c>
    </row>
    <row r="502" spans="1:12" ht="15" customHeight="1" x14ac:dyDescent="0.3">
      <c r="A502" s="26">
        <v>46064</v>
      </c>
      <c r="B502" s="6">
        <v>13830</v>
      </c>
      <c r="C502" s="6">
        <v>14025</v>
      </c>
      <c r="D502" s="6">
        <v>13806</v>
      </c>
      <c r="E502" s="6">
        <v>13854</v>
      </c>
      <c r="F502" s="6">
        <v>49800</v>
      </c>
      <c r="G502" s="7">
        <f t="shared" ref="G502:H502" si="499">(E502-E501)/E501</f>
        <v>3.4767492394611041E-3</v>
      </c>
      <c r="H502" s="7">
        <f t="shared" si="499"/>
        <v>-0.54891304347826086</v>
      </c>
      <c r="I502" s="8">
        <f>IF(COUNTIF(Event_Rumor!$B$2:$B$9,A502)&gt;0,1,0)</f>
        <v>0</v>
      </c>
      <c r="J502" s="8" t="str">
        <f t="array" ref="J50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2" s="8" t="str">
        <f t="array" ref="K502">IF(I502=1,"Event",IF(J502="-","Normal",IF(INDEX(Event_Rumor!$G$2:$G$9,MATCH(J502,Event_Rumor!$A$2:$A$9,0))&gt;ROW(),"Pre","Post")))</f>
        <v>Normal</v>
      </c>
      <c r="L502" s="11" t="str">
        <f t="array" ref="L502">IF(J502="-","-",INDEX(Event_Rumor!$E$2:$E$9,MATCH(J502,Event_Rumor!$A$2:$A$9,0)))</f>
        <v>-</v>
      </c>
    </row>
    <row r="503" spans="1:12" ht="15" customHeight="1" x14ac:dyDescent="0.3">
      <c r="A503" s="26">
        <v>46065</v>
      </c>
      <c r="B503" s="6">
        <v>13879</v>
      </c>
      <c r="C503" s="6">
        <v>13952</v>
      </c>
      <c r="D503" s="6">
        <v>13806</v>
      </c>
      <c r="E503" s="6">
        <v>13830</v>
      </c>
      <c r="F503" s="6">
        <v>70500</v>
      </c>
      <c r="G503" s="7">
        <f t="shared" ref="G503:H503" si="500">(E503-E502)/E502</f>
        <v>-1.7323516673884798E-3</v>
      </c>
      <c r="H503" s="7">
        <f t="shared" si="500"/>
        <v>0.41566265060240964</v>
      </c>
      <c r="I503" s="8">
        <f>IF(COUNTIF(Event_Rumor!$B$2:$B$9,A503)&gt;0,1,0)</f>
        <v>0</v>
      </c>
      <c r="J503" s="8" t="str">
        <f t="array" ref="J50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3" s="8" t="str">
        <f t="array" ref="K503">IF(I503=1,"Event",IF(J503="-","Normal",IF(INDEX(Event_Rumor!$G$2:$G$9,MATCH(J503,Event_Rumor!$A$2:$A$9,0))&gt;ROW(),"Pre","Post")))</f>
        <v>Normal</v>
      </c>
      <c r="L503" s="11" t="str">
        <f t="array" ref="L503">IF(J503="-","-",INDEX(Event_Rumor!$E$2:$E$9,MATCH(J503,Event_Rumor!$A$2:$A$9,0)))</f>
        <v>-</v>
      </c>
    </row>
    <row r="504" spans="1:12" ht="15" customHeight="1" x14ac:dyDescent="0.3">
      <c r="A504" s="26">
        <v>46066</v>
      </c>
      <c r="B504" s="6">
        <v>13903</v>
      </c>
      <c r="C504" s="6">
        <v>14050</v>
      </c>
      <c r="D504" s="6">
        <v>13854</v>
      </c>
      <c r="E504" s="6">
        <v>13854</v>
      </c>
      <c r="F504" s="6">
        <v>35700</v>
      </c>
      <c r="G504" s="7">
        <f t="shared" ref="G504:H504" si="501">(E504-E503)/E503</f>
        <v>1.7353579175704988E-3</v>
      </c>
      <c r="H504" s="7">
        <f t="shared" si="501"/>
        <v>-0.49361702127659574</v>
      </c>
      <c r="I504" s="8">
        <f>IF(COUNTIF(Event_Rumor!$B$2:$B$9,A504)&gt;0,1,0)</f>
        <v>0</v>
      </c>
      <c r="J504" s="8" t="str">
        <f t="array" ref="J50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4" s="8" t="str">
        <f t="array" ref="K504">IF(I504=1,"Event",IF(J504="-","Normal",IF(INDEX(Event_Rumor!$G$2:$G$9,MATCH(J504,Event_Rumor!$A$2:$A$9,0))&gt;ROW(),"Pre","Post")))</f>
        <v>Normal</v>
      </c>
      <c r="L504" s="11" t="str">
        <f t="array" ref="L504">IF(J504="-","-",INDEX(Event_Rumor!$E$2:$E$9,MATCH(J504,Event_Rumor!$A$2:$A$9,0)))</f>
        <v>-</v>
      </c>
    </row>
    <row r="505" spans="1:12" ht="15" customHeight="1" x14ac:dyDescent="0.3">
      <c r="A505" s="26">
        <v>46071</v>
      </c>
      <c r="B505" s="6">
        <v>13879</v>
      </c>
      <c r="C505" s="6">
        <v>14098</v>
      </c>
      <c r="D505" s="6">
        <v>13854</v>
      </c>
      <c r="E505" s="6">
        <v>13879</v>
      </c>
      <c r="F505" s="6">
        <v>28300</v>
      </c>
      <c r="G505" s="7">
        <f t="shared" ref="G505:H505" si="502">(E505-E504)/E504</f>
        <v>1.8045329868629999E-3</v>
      </c>
      <c r="H505" s="7">
        <f t="shared" si="502"/>
        <v>-0.20728291316526612</v>
      </c>
      <c r="I505" s="8">
        <f>IF(COUNTIF(Event_Rumor!$B$2:$B$9,A505)&gt;0,1,0)</f>
        <v>0</v>
      </c>
      <c r="J505" s="8" t="str">
        <f t="array" ref="J50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5" s="8" t="str">
        <f t="array" ref="K505">IF(I505=1,"Event",IF(J505="-","Normal",IF(INDEX(Event_Rumor!$G$2:$G$9,MATCH(J505,Event_Rumor!$A$2:$A$9,0))&gt;ROW(),"Pre","Post")))</f>
        <v>Normal</v>
      </c>
      <c r="L505" s="11" t="str">
        <f t="array" ref="L505">IF(J505="-","-",INDEX(Event_Rumor!$E$2:$E$9,MATCH(J505,Event_Rumor!$A$2:$A$9,0)))</f>
        <v>-</v>
      </c>
    </row>
    <row r="506" spans="1:12" ht="15" customHeight="1" x14ac:dyDescent="0.3">
      <c r="A506" s="26">
        <v>46072</v>
      </c>
      <c r="B506" s="6">
        <v>14098</v>
      </c>
      <c r="C506" s="6">
        <v>14098</v>
      </c>
      <c r="D506" s="6">
        <v>13854</v>
      </c>
      <c r="E506" s="6">
        <v>14025</v>
      </c>
      <c r="F506" s="6">
        <v>36300</v>
      </c>
      <c r="G506" s="7">
        <f t="shared" ref="G506:H506" si="503">(E506-E505)/E505</f>
        <v>1.0519489876792276E-2</v>
      </c>
      <c r="H506" s="7">
        <f t="shared" si="503"/>
        <v>0.28268551236749118</v>
      </c>
      <c r="I506" s="8">
        <f>IF(COUNTIF(Event_Rumor!$B$2:$B$9,A506)&gt;0,1,0)</f>
        <v>0</v>
      </c>
      <c r="J506" s="8" t="str">
        <f t="array" ref="J50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6" s="8" t="str">
        <f t="array" ref="K506">IF(I506=1,"Event",IF(J506="-","Normal",IF(INDEX(Event_Rumor!$G$2:$G$9,MATCH(J506,Event_Rumor!$A$2:$A$9,0))&gt;ROW(),"Pre","Post")))</f>
        <v>Normal</v>
      </c>
      <c r="L506" s="11" t="str">
        <f t="array" ref="L506">IF(J506="-","-",INDEX(Event_Rumor!$E$2:$E$9,MATCH(J506,Event_Rumor!$A$2:$A$9,0)))</f>
        <v>-</v>
      </c>
    </row>
    <row r="507" spans="1:12" ht="15" customHeight="1" x14ac:dyDescent="0.3">
      <c r="A507" s="26">
        <v>46073</v>
      </c>
      <c r="B507" s="6">
        <v>14050</v>
      </c>
      <c r="C507" s="6">
        <v>14050</v>
      </c>
      <c r="D507" s="6">
        <v>13659</v>
      </c>
      <c r="E507" s="6">
        <v>13708</v>
      </c>
      <c r="F507" s="6">
        <v>80500</v>
      </c>
      <c r="G507" s="7">
        <f t="shared" ref="G507:H507" si="504">(E507-E506)/E506</f>
        <v>-2.2602495543672014E-2</v>
      </c>
      <c r="H507" s="7">
        <f t="shared" si="504"/>
        <v>1.2176308539944904</v>
      </c>
      <c r="I507" s="8">
        <f>IF(COUNTIF(Event_Rumor!$B$2:$B$9,A507)&gt;0,1,0)</f>
        <v>0</v>
      </c>
      <c r="J507" s="8" t="str">
        <f t="array" ref="J50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7" s="8" t="str">
        <f t="array" ref="K507">IF(I507=1,"Event",IF(J507="-","Normal",IF(INDEX(Event_Rumor!$G$2:$G$9,MATCH(J507,Event_Rumor!$A$2:$A$9,0))&gt;ROW(),"Pre","Post")))</f>
        <v>Normal</v>
      </c>
      <c r="L507" s="11" t="str">
        <f t="array" ref="L507">IF(J507="-","-",INDEX(Event_Rumor!$E$2:$E$9,MATCH(J507,Event_Rumor!$A$2:$A$9,0)))</f>
        <v>-</v>
      </c>
    </row>
    <row r="508" spans="1:12" ht="15" customHeight="1" x14ac:dyDescent="0.3">
      <c r="A508" s="26">
        <v>46076</v>
      </c>
      <c r="B508" s="6">
        <v>13903</v>
      </c>
      <c r="C508" s="6">
        <v>13952</v>
      </c>
      <c r="D508" s="6">
        <v>13586</v>
      </c>
      <c r="E508" s="6">
        <v>13854</v>
      </c>
      <c r="F508" s="6">
        <v>63600</v>
      </c>
      <c r="G508" s="7">
        <f t="shared" ref="G508:H508" si="505">(E508-E507)/E507</f>
        <v>1.0650714911000876E-2</v>
      </c>
      <c r="H508" s="7">
        <f t="shared" si="505"/>
        <v>-0.20993788819875778</v>
      </c>
      <c r="I508" s="8">
        <f>IF(COUNTIF(Event_Rumor!$B$2:$B$9,A508)&gt;0,1,0)</f>
        <v>0</v>
      </c>
      <c r="J508" s="8" t="str">
        <f t="array" ref="J50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8" s="8" t="str">
        <f t="array" ref="K508">IF(I508=1,"Event",IF(J508="-","Normal",IF(INDEX(Event_Rumor!$G$2:$G$9,MATCH(J508,Event_Rumor!$A$2:$A$9,0))&gt;ROW(),"Pre","Post")))</f>
        <v>Normal</v>
      </c>
      <c r="L508" s="11" t="str">
        <f t="array" ref="L508">IF(J508="-","-",INDEX(Event_Rumor!$E$2:$E$9,MATCH(J508,Event_Rumor!$A$2:$A$9,0)))</f>
        <v>-</v>
      </c>
    </row>
    <row r="509" spans="1:12" ht="15" customHeight="1" x14ac:dyDescent="0.3">
      <c r="A509" s="26">
        <v>46077</v>
      </c>
      <c r="B509" s="6">
        <v>13879</v>
      </c>
      <c r="C509" s="6">
        <v>13903</v>
      </c>
      <c r="D509" s="6">
        <v>13854</v>
      </c>
      <c r="E509" s="6">
        <v>13854</v>
      </c>
      <c r="F509" s="6">
        <v>60900</v>
      </c>
      <c r="G509" s="7">
        <f t="shared" ref="G509:H509" si="506">(E509-E508)/E508</f>
        <v>0</v>
      </c>
      <c r="H509" s="7">
        <f t="shared" si="506"/>
        <v>-4.2452830188679243E-2</v>
      </c>
      <c r="I509" s="8">
        <f>IF(COUNTIF(Event_Rumor!$B$2:$B$9,A509)&gt;0,1,0)</f>
        <v>0</v>
      </c>
      <c r="J509" s="8" t="str">
        <f t="array" ref="J50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09" s="8" t="str">
        <f t="array" ref="K509">IF(I509=1,"Event",IF(J509="-","Normal",IF(INDEX(Event_Rumor!$G$2:$G$9,MATCH(J509,Event_Rumor!$A$2:$A$9,0))&gt;ROW(),"Pre","Post")))</f>
        <v>Normal</v>
      </c>
      <c r="L509" s="11" t="str">
        <f t="array" ref="L509">IF(J509="-","-",INDEX(Event_Rumor!$E$2:$E$9,MATCH(J509,Event_Rumor!$A$2:$A$9,0)))</f>
        <v>-</v>
      </c>
    </row>
    <row r="510" spans="1:12" ht="15" customHeight="1" x14ac:dyDescent="0.3">
      <c r="A510" s="26">
        <v>46078</v>
      </c>
      <c r="B510" s="6">
        <v>13879</v>
      </c>
      <c r="C510" s="6">
        <v>13879</v>
      </c>
      <c r="D510" s="6">
        <v>13757</v>
      </c>
      <c r="E510" s="6">
        <v>13830</v>
      </c>
      <c r="F510" s="6">
        <v>12800</v>
      </c>
      <c r="G510" s="7">
        <f t="shared" ref="G510:H510" si="507">(E510-E509)/E509</f>
        <v>-1.7323516673884798E-3</v>
      </c>
      <c r="H510" s="7">
        <f t="shared" si="507"/>
        <v>-0.78981937602627261</v>
      </c>
      <c r="I510" s="8">
        <f>IF(COUNTIF(Event_Rumor!$B$2:$B$9,A510)&gt;0,1,0)</f>
        <v>0</v>
      </c>
      <c r="J510" s="8" t="str">
        <f t="array" ref="J5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0" s="8" t="str">
        <f t="array" ref="K510">IF(I510=1,"Event",IF(J510="-","Normal",IF(INDEX(Event_Rumor!$G$2:$G$9,MATCH(J510,Event_Rumor!$A$2:$A$9,0))&gt;ROW(),"Pre","Post")))</f>
        <v>Normal</v>
      </c>
      <c r="L510" s="11" t="str">
        <f t="array" ref="L510">IF(J510="-","-",INDEX(Event_Rumor!$E$2:$E$9,MATCH(J510,Event_Rumor!$A$2:$A$9,0)))</f>
        <v>-</v>
      </c>
    </row>
    <row r="511" spans="1:12" ht="15" customHeight="1" x14ac:dyDescent="0.3">
      <c r="A511" s="26">
        <v>46079</v>
      </c>
      <c r="B511" s="6">
        <v>13830</v>
      </c>
      <c r="C511" s="6">
        <v>13830</v>
      </c>
      <c r="D511" s="6">
        <v>13684</v>
      </c>
      <c r="E511" s="6">
        <v>13684</v>
      </c>
      <c r="F511" s="6">
        <v>15900</v>
      </c>
      <c r="G511" s="7">
        <f t="shared" ref="G511:H511" si="508">(E511-E510)/E510</f>
        <v>-1.0556760665220535E-2</v>
      </c>
      <c r="H511" s="7">
        <f t="shared" si="508"/>
        <v>0.2421875</v>
      </c>
      <c r="I511" s="8">
        <f>IF(COUNTIF(Event_Rumor!$B$2:$B$9,A511)&gt;0,1,0)</f>
        <v>0</v>
      </c>
      <c r="J511" s="8" t="str">
        <f t="array" ref="J5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1" s="8" t="str">
        <f t="array" ref="K511">IF(I511=1,"Event",IF(J511="-","Normal",IF(INDEX(Event_Rumor!$G$2:$G$9,MATCH(J511,Event_Rumor!$A$2:$A$9,0))&gt;ROW(),"Pre","Post")))</f>
        <v>Normal</v>
      </c>
      <c r="L511" s="11" t="str">
        <f t="array" ref="L511">IF(J511="-","-",INDEX(Event_Rumor!$E$2:$E$9,MATCH(J511,Event_Rumor!$A$2:$A$9,0)))</f>
        <v>-</v>
      </c>
    </row>
    <row r="512" spans="1:12" ht="15" customHeight="1" x14ac:dyDescent="0.3">
      <c r="A512" s="26">
        <v>46080</v>
      </c>
      <c r="B512" s="6">
        <v>13732</v>
      </c>
      <c r="C512" s="6">
        <v>13732</v>
      </c>
      <c r="D512" s="6">
        <v>13562</v>
      </c>
      <c r="E512" s="6">
        <v>13659</v>
      </c>
      <c r="F512" s="6">
        <v>21800</v>
      </c>
      <c r="G512" s="7">
        <f t="shared" ref="G512:H512" si="509">(E512-E511)/E511</f>
        <v>-1.8269511838643671E-3</v>
      </c>
      <c r="H512" s="7">
        <f t="shared" si="509"/>
        <v>0.37106918238993708</v>
      </c>
      <c r="I512" s="8">
        <f>IF(COUNTIF(Event_Rumor!$B$2:$B$9,A512)&gt;0,1,0)</f>
        <v>0</v>
      </c>
      <c r="J512" s="8" t="str">
        <f t="array" ref="J5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2" s="8" t="str">
        <f t="array" ref="K512">IF(I512=1,"Event",IF(J512="-","Normal",IF(INDEX(Event_Rumor!$G$2:$G$9,MATCH(J512,Event_Rumor!$A$2:$A$9,0))&gt;ROW(),"Pre","Post")))</f>
        <v>Normal</v>
      </c>
      <c r="L512" s="11" t="str">
        <f t="array" ref="L512">IF(J512="-","-",INDEX(Event_Rumor!$E$2:$E$9,MATCH(J512,Event_Rumor!$A$2:$A$9,0)))</f>
        <v>-</v>
      </c>
    </row>
    <row r="513" spans="1:12" ht="15" customHeight="1" x14ac:dyDescent="0.3">
      <c r="A513" s="26">
        <v>46083</v>
      </c>
      <c r="B513" s="6">
        <v>13659</v>
      </c>
      <c r="C513" s="6">
        <v>13659</v>
      </c>
      <c r="D513" s="6">
        <v>13537</v>
      </c>
      <c r="E513" s="6">
        <v>13635</v>
      </c>
      <c r="F513" s="6">
        <v>37100</v>
      </c>
      <c r="G513" s="7">
        <f t="shared" ref="G513:H513" si="510">(E513-E512)/E512</f>
        <v>-1.7570832418185812E-3</v>
      </c>
      <c r="H513" s="7">
        <f t="shared" si="510"/>
        <v>0.70183486238532111</v>
      </c>
      <c r="I513" s="8">
        <f>IF(COUNTIF(Event_Rumor!$B$2:$B$9,A513)&gt;0,1,0)</f>
        <v>0</v>
      </c>
      <c r="J513" s="8" t="str">
        <f t="array" ref="J5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3" s="8" t="str">
        <f t="array" ref="K513">IF(I513=1,"Event",IF(J513="-","Normal",IF(INDEX(Event_Rumor!$G$2:$G$9,MATCH(J513,Event_Rumor!$A$2:$A$9,0))&gt;ROW(),"Pre","Post")))</f>
        <v>Normal</v>
      </c>
      <c r="L513" s="11" t="str">
        <f t="array" ref="L513">IF(J513="-","-",INDEX(Event_Rumor!$E$2:$E$9,MATCH(J513,Event_Rumor!$A$2:$A$9,0)))</f>
        <v>-</v>
      </c>
    </row>
    <row r="514" spans="1:12" ht="15" customHeight="1" x14ac:dyDescent="0.3">
      <c r="A514" s="26">
        <v>46084</v>
      </c>
      <c r="B514" s="6">
        <v>13659</v>
      </c>
      <c r="C514" s="6">
        <v>13659</v>
      </c>
      <c r="D514" s="6">
        <v>13562</v>
      </c>
      <c r="E514" s="6">
        <v>13562</v>
      </c>
      <c r="F514" s="6">
        <v>85800</v>
      </c>
      <c r="G514" s="7">
        <f t="shared" ref="G514:H514" si="511">(E514-E513)/E513</f>
        <v>-5.353868720205354E-3</v>
      </c>
      <c r="H514" s="7">
        <f t="shared" si="511"/>
        <v>1.3126684636118597</v>
      </c>
      <c r="I514" s="8">
        <f>IF(COUNTIF(Event_Rumor!$B$2:$B$9,A514)&gt;0,1,0)</f>
        <v>0</v>
      </c>
      <c r="J514" s="8" t="str">
        <f t="array" ref="J5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4" s="8" t="str">
        <f t="array" ref="K514">IF(I514=1,"Event",IF(J514="-","Normal",IF(INDEX(Event_Rumor!$G$2:$G$9,MATCH(J514,Event_Rumor!$A$2:$A$9,0))&gt;ROW(),"Pre","Post")))</f>
        <v>Normal</v>
      </c>
      <c r="L514" s="11" t="str">
        <f t="array" ref="L514">IF(J514="-","-",INDEX(Event_Rumor!$E$2:$E$9,MATCH(J514,Event_Rumor!$A$2:$A$9,0)))</f>
        <v>-</v>
      </c>
    </row>
    <row r="515" spans="1:12" ht="15" customHeight="1" x14ac:dyDescent="0.3">
      <c r="A515" s="26">
        <v>46085</v>
      </c>
      <c r="B515" s="6">
        <v>13659</v>
      </c>
      <c r="C515" s="6">
        <v>13854</v>
      </c>
      <c r="D515" s="6">
        <v>13318</v>
      </c>
      <c r="E515" s="6">
        <v>13367</v>
      </c>
      <c r="F515" s="6">
        <v>132800</v>
      </c>
      <c r="G515" s="7">
        <f t="shared" ref="G515:H515" si="512">(E515-E514)/E514</f>
        <v>-1.4378410263972866E-2</v>
      </c>
      <c r="H515" s="7">
        <f t="shared" si="512"/>
        <v>0.54778554778554778</v>
      </c>
      <c r="I515" s="8">
        <f>IF(COUNTIF(Event_Rumor!$B$2:$B$9,A515)&gt;0,1,0)</f>
        <v>0</v>
      </c>
      <c r="J515" s="8" t="str">
        <f t="array" ref="J5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5" s="8" t="str">
        <f t="array" ref="K515">IF(I515=1,"Event",IF(J515="-","Normal",IF(INDEX(Event_Rumor!$G$2:$G$9,MATCH(J515,Event_Rumor!$A$2:$A$9,0))&gt;ROW(),"Pre","Post")))</f>
        <v>Normal</v>
      </c>
      <c r="L515" s="11" t="str">
        <f t="array" ref="L515">IF(J515="-","-",INDEX(Event_Rumor!$E$2:$E$9,MATCH(J515,Event_Rumor!$A$2:$A$9,0)))</f>
        <v>-</v>
      </c>
    </row>
    <row r="516" spans="1:12" ht="15" customHeight="1" x14ac:dyDescent="0.3">
      <c r="A516" s="26">
        <v>46086</v>
      </c>
      <c r="B516" s="6">
        <v>13367</v>
      </c>
      <c r="C516" s="6">
        <v>13367</v>
      </c>
      <c r="D516" s="6">
        <v>13050</v>
      </c>
      <c r="E516" s="6">
        <v>13050</v>
      </c>
      <c r="F516" s="6">
        <v>55600</v>
      </c>
      <c r="G516" s="7">
        <f t="shared" ref="G516:H516" si="513">(E516-E515)/E515</f>
        <v>-2.3715119323707637E-2</v>
      </c>
      <c r="H516" s="7">
        <f t="shared" si="513"/>
        <v>-0.58132530120481929</v>
      </c>
      <c r="I516" s="8">
        <f>IF(COUNTIF(Event_Rumor!$B$2:$B$9,A516)&gt;0,1,0)</f>
        <v>0</v>
      </c>
      <c r="J516" s="8" t="str">
        <f t="array" ref="J5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6" s="8" t="str">
        <f t="array" ref="K516">IF(I516=1,"Event",IF(J516="-","Normal",IF(INDEX(Event_Rumor!$G$2:$G$9,MATCH(J516,Event_Rumor!$A$2:$A$9,0))&gt;ROW(),"Pre","Post")))</f>
        <v>Normal</v>
      </c>
      <c r="L516" s="11" t="str">
        <f t="array" ref="L516">IF(J516="-","-",INDEX(Event_Rumor!$E$2:$E$9,MATCH(J516,Event_Rumor!$A$2:$A$9,0)))</f>
        <v>-</v>
      </c>
    </row>
    <row r="517" spans="1:12" ht="15" customHeight="1" x14ac:dyDescent="0.3">
      <c r="A517" s="26">
        <v>46087</v>
      </c>
      <c r="B517" s="6">
        <v>13050</v>
      </c>
      <c r="C517" s="6">
        <v>13050</v>
      </c>
      <c r="D517" s="6">
        <v>12367</v>
      </c>
      <c r="E517" s="6">
        <v>12440</v>
      </c>
      <c r="F517" s="6">
        <v>87300</v>
      </c>
      <c r="G517" s="7">
        <f t="shared" ref="G517:H517" si="514">(E517-E516)/E516</f>
        <v>-4.674329501915709E-2</v>
      </c>
      <c r="H517" s="7">
        <f t="shared" si="514"/>
        <v>0.57014388489208634</v>
      </c>
      <c r="I517" s="8">
        <f>IF(COUNTIF(Event_Rumor!$B$2:$B$9,A517)&gt;0,1,0)</f>
        <v>0</v>
      </c>
      <c r="J517" s="8" t="str">
        <f t="array" ref="J5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7" s="8" t="str">
        <f t="array" ref="K517">IF(I517=1,"Event",IF(J517="-","Normal",IF(INDEX(Event_Rumor!$G$2:$G$9,MATCH(J517,Event_Rumor!$A$2:$A$9,0))&gt;ROW(),"Pre","Post")))</f>
        <v>Normal</v>
      </c>
      <c r="L517" s="11" t="str">
        <f t="array" ref="L517">IF(J517="-","-",INDEX(Event_Rumor!$E$2:$E$9,MATCH(J517,Event_Rumor!$A$2:$A$9,0)))</f>
        <v>-</v>
      </c>
    </row>
    <row r="518" spans="1:12" ht="15" customHeight="1" x14ac:dyDescent="0.3">
      <c r="A518" s="26">
        <v>46090</v>
      </c>
      <c r="B518" s="6">
        <v>12440</v>
      </c>
      <c r="C518" s="6">
        <v>12440</v>
      </c>
      <c r="D518" s="6">
        <v>11122</v>
      </c>
      <c r="E518" s="6">
        <v>11562</v>
      </c>
      <c r="F518" s="6">
        <v>68700</v>
      </c>
      <c r="G518" s="7">
        <f t="shared" ref="G518:H518" si="515">(E518-E517)/E517</f>
        <v>-7.0578778135048231E-2</v>
      </c>
      <c r="H518" s="7">
        <f t="shared" si="515"/>
        <v>-0.21305841924398625</v>
      </c>
      <c r="I518" s="8">
        <f>IF(COUNTIF(Event_Rumor!$B$2:$B$9,A518)&gt;0,1,0)</f>
        <v>0</v>
      </c>
      <c r="J518" s="8" t="str">
        <f t="array" ref="J5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8" s="8" t="str">
        <f t="array" ref="K518">IF(I518=1,"Event",IF(J518="-","Normal",IF(INDEX(Event_Rumor!$G$2:$G$9,MATCH(J518,Event_Rumor!$A$2:$A$9,0))&gt;ROW(),"Pre","Post")))</f>
        <v>Normal</v>
      </c>
      <c r="L518" s="11" t="str">
        <f t="array" ref="L518">IF(J518="-","-",INDEX(Event_Rumor!$E$2:$E$9,MATCH(J518,Event_Rumor!$A$2:$A$9,0)))</f>
        <v>-</v>
      </c>
    </row>
    <row r="519" spans="1:12" ht="15" customHeight="1" x14ac:dyDescent="0.3">
      <c r="A519" s="26">
        <v>46091</v>
      </c>
      <c r="B519" s="6">
        <v>11562</v>
      </c>
      <c r="C519" s="6">
        <v>11952</v>
      </c>
      <c r="D519" s="6">
        <v>11562</v>
      </c>
      <c r="E519" s="6">
        <v>11952</v>
      </c>
      <c r="F519" s="6">
        <v>71600</v>
      </c>
      <c r="G519" s="7">
        <f t="shared" ref="G519:H519" si="516">(E519-E518)/E518</f>
        <v>3.3731188375713546E-2</v>
      </c>
      <c r="H519" s="7">
        <f t="shared" si="516"/>
        <v>4.2212518195050945E-2</v>
      </c>
      <c r="I519" s="8">
        <f>IF(COUNTIF(Event_Rumor!$B$2:$B$9,A519)&gt;0,1,0)</f>
        <v>0</v>
      </c>
      <c r="J519" s="8" t="str">
        <f t="array" ref="J5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19" s="8" t="str">
        <f t="array" ref="K519">IF(I519=1,"Event",IF(J519="-","Normal",IF(INDEX(Event_Rumor!$G$2:$G$9,MATCH(J519,Event_Rumor!$A$2:$A$9,0))&gt;ROW(),"Pre","Post")))</f>
        <v>Normal</v>
      </c>
      <c r="L519" s="11" t="str">
        <f t="array" ref="L519">IF(J519="-","-",INDEX(Event_Rumor!$E$2:$E$9,MATCH(J519,Event_Rumor!$A$2:$A$9,0)))</f>
        <v>-</v>
      </c>
    </row>
    <row r="520" spans="1:12" ht="15" customHeight="1" x14ac:dyDescent="0.3">
      <c r="A520" s="26">
        <v>46092</v>
      </c>
      <c r="B520" s="6">
        <v>12196</v>
      </c>
      <c r="C520" s="6">
        <v>13976</v>
      </c>
      <c r="D520" s="6">
        <v>12196</v>
      </c>
      <c r="E520" s="6">
        <v>12586</v>
      </c>
      <c r="F520" s="6">
        <v>112000</v>
      </c>
      <c r="G520" s="7">
        <f t="shared" ref="G520:H520" si="517">(E520-E519)/E519</f>
        <v>5.3045515394912986E-2</v>
      </c>
      <c r="H520" s="7">
        <f t="shared" si="517"/>
        <v>0.56424581005586594</v>
      </c>
      <c r="I520" s="8">
        <f>IF(COUNTIF(Event_Rumor!$B$2:$B$9,A520)&gt;0,1,0)</f>
        <v>0</v>
      </c>
      <c r="J520" s="8" t="str">
        <f t="array" ref="J5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0" s="8" t="str">
        <f t="array" ref="K520">IF(I520=1,"Event",IF(J520="-","Normal",IF(INDEX(Event_Rumor!$G$2:$G$9,MATCH(J520,Event_Rumor!$A$2:$A$9,0))&gt;ROW(),"Pre","Post")))</f>
        <v>Normal</v>
      </c>
      <c r="L520" s="11" t="str">
        <f t="array" ref="L520">IF(J520="-","-",INDEX(Event_Rumor!$E$2:$E$9,MATCH(J520,Event_Rumor!$A$2:$A$9,0)))</f>
        <v>-</v>
      </c>
    </row>
    <row r="521" spans="1:12" ht="15" customHeight="1" x14ac:dyDescent="0.3">
      <c r="A521" s="26">
        <v>46093</v>
      </c>
      <c r="B521" s="6">
        <v>12659</v>
      </c>
      <c r="C521" s="6">
        <v>13074</v>
      </c>
      <c r="D521" s="6">
        <v>12659</v>
      </c>
      <c r="E521" s="6">
        <v>12952</v>
      </c>
      <c r="F521" s="6">
        <v>54600</v>
      </c>
      <c r="G521" s="7">
        <f t="shared" ref="G521:H521" si="518">(E521-E520)/E520</f>
        <v>2.9079930081042427E-2</v>
      </c>
      <c r="H521" s="7">
        <f t="shared" si="518"/>
        <v>-0.51249999999999996</v>
      </c>
      <c r="I521" s="8">
        <f>IF(COUNTIF(Event_Rumor!$B$2:$B$9,A521)&gt;0,1,0)</f>
        <v>0</v>
      </c>
      <c r="J521" s="8" t="str">
        <f t="array" ref="J5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1" s="8" t="str">
        <f t="array" ref="K521">IF(I521=1,"Event",IF(J521="-","Normal",IF(INDEX(Event_Rumor!$G$2:$G$9,MATCH(J521,Event_Rumor!$A$2:$A$9,0))&gt;ROW(),"Pre","Post")))</f>
        <v>Normal</v>
      </c>
      <c r="L521" s="11" t="str">
        <f t="array" ref="L521">IF(J521="-","-",INDEX(Event_Rumor!$E$2:$E$9,MATCH(J521,Event_Rumor!$A$2:$A$9,0)))</f>
        <v>-</v>
      </c>
    </row>
    <row r="522" spans="1:12" ht="15" customHeight="1" x14ac:dyDescent="0.3">
      <c r="A522" s="26">
        <v>46094</v>
      </c>
      <c r="B522" s="6">
        <v>12976</v>
      </c>
      <c r="C522" s="6">
        <v>13171</v>
      </c>
      <c r="D522" s="6">
        <v>12586</v>
      </c>
      <c r="E522" s="6">
        <v>12635</v>
      </c>
      <c r="F522" s="6">
        <v>26000</v>
      </c>
      <c r="G522" s="7">
        <f t="shared" ref="G522:H522" si="519">(E522-E521)/E521</f>
        <v>-2.4474984558369363E-2</v>
      </c>
      <c r="H522" s="7">
        <f t="shared" si="519"/>
        <v>-0.52380952380952384</v>
      </c>
      <c r="I522" s="8">
        <f>IF(COUNTIF(Event_Rumor!$B$2:$B$9,A522)&gt;0,1,0)</f>
        <v>0</v>
      </c>
      <c r="J522" s="8" t="str">
        <f t="array" ref="J5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2" s="8" t="str">
        <f t="array" ref="K522">IF(I522=1,"Event",IF(J522="-","Normal",IF(INDEX(Event_Rumor!$G$2:$G$9,MATCH(J522,Event_Rumor!$A$2:$A$9,0))&gt;ROW(),"Pre","Post")))</f>
        <v>Normal</v>
      </c>
      <c r="L522" s="11" t="str">
        <f t="array" ref="L522">IF(J522="-","-",INDEX(Event_Rumor!$E$2:$E$9,MATCH(J522,Event_Rumor!$A$2:$A$9,0)))</f>
        <v>-</v>
      </c>
    </row>
    <row r="523" spans="1:12" ht="15" customHeight="1" x14ac:dyDescent="0.3">
      <c r="A523" s="26">
        <v>46097</v>
      </c>
      <c r="B523" s="6">
        <v>12659</v>
      </c>
      <c r="C523" s="6">
        <v>12659</v>
      </c>
      <c r="D523" s="6">
        <v>12147</v>
      </c>
      <c r="E523" s="6">
        <v>12318</v>
      </c>
      <c r="F523" s="6">
        <v>21900</v>
      </c>
      <c r="G523" s="7">
        <f t="shared" ref="G523:H523" si="520">(E523-E522)/E522</f>
        <v>-2.5089038385437277E-2</v>
      </c>
      <c r="H523" s="7">
        <f t="shared" si="520"/>
        <v>-0.15769230769230769</v>
      </c>
      <c r="I523" s="8">
        <f>IF(COUNTIF(Event_Rumor!$B$2:$B$9,A523)&gt;0,1,0)</f>
        <v>0</v>
      </c>
      <c r="J523" s="8" t="str">
        <f t="array" ref="J5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3" s="8" t="str">
        <f t="array" ref="K523">IF(I523=1,"Event",IF(J523="-","Normal",IF(INDEX(Event_Rumor!$G$2:$G$9,MATCH(J523,Event_Rumor!$A$2:$A$9,0))&gt;ROW(),"Pre","Post")))</f>
        <v>Normal</v>
      </c>
      <c r="L523" s="11" t="str">
        <f t="array" ref="L523">IF(J523="-","-",INDEX(Event_Rumor!$E$2:$E$9,MATCH(J523,Event_Rumor!$A$2:$A$9,0)))</f>
        <v>-</v>
      </c>
    </row>
    <row r="524" spans="1:12" ht="15" customHeight="1" x14ac:dyDescent="0.3">
      <c r="A524" s="26">
        <v>46098</v>
      </c>
      <c r="B524" s="6">
        <v>12318</v>
      </c>
      <c r="C524" s="6">
        <v>12391</v>
      </c>
      <c r="D524" s="6">
        <v>12293</v>
      </c>
      <c r="E524" s="6">
        <v>12342</v>
      </c>
      <c r="F524" s="6">
        <v>26000</v>
      </c>
      <c r="G524" s="7">
        <f t="shared" ref="G524:H524" si="521">(E524-E523)/E523</f>
        <v>1.948368241597662E-3</v>
      </c>
      <c r="H524" s="7">
        <f t="shared" si="521"/>
        <v>0.18721461187214611</v>
      </c>
      <c r="I524" s="8">
        <f>IF(COUNTIF(Event_Rumor!$B$2:$B$9,A524)&gt;0,1,0)</f>
        <v>0</v>
      </c>
      <c r="J524" s="8" t="str">
        <f t="array" ref="J5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4" s="8" t="str">
        <f t="array" ref="K524">IF(I524=1,"Event",IF(J524="-","Normal",IF(INDEX(Event_Rumor!$G$2:$G$9,MATCH(J524,Event_Rumor!$A$2:$A$9,0))&gt;ROW(),"Pre","Post")))</f>
        <v>Normal</v>
      </c>
      <c r="L524" s="11" t="str">
        <f t="array" ref="L524">IF(J524="-","-",INDEX(Event_Rumor!$E$2:$E$9,MATCH(J524,Event_Rumor!$A$2:$A$9,0)))</f>
        <v>-</v>
      </c>
    </row>
    <row r="525" spans="1:12" ht="15" customHeight="1" x14ac:dyDescent="0.3">
      <c r="A525" s="26">
        <v>46106</v>
      </c>
      <c r="B525" s="6">
        <v>12391</v>
      </c>
      <c r="C525" s="6">
        <v>12440</v>
      </c>
      <c r="D525" s="6">
        <v>12367</v>
      </c>
      <c r="E525" s="6">
        <v>12391</v>
      </c>
      <c r="F525" s="6">
        <v>43200</v>
      </c>
      <c r="G525" s="7">
        <f t="shared" ref="G525:H525" si="522">(E525-E524)/E524</f>
        <v>3.970183114568141E-3</v>
      </c>
      <c r="H525" s="7">
        <f t="shared" si="522"/>
        <v>0.66153846153846152</v>
      </c>
      <c r="I525" s="8">
        <f>IF(COUNTIF(Event_Rumor!$B$2:$B$9,A525)&gt;0,1,0)</f>
        <v>0</v>
      </c>
      <c r="J525" s="8" t="str">
        <f t="array" ref="J5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5" s="8" t="str">
        <f t="array" ref="K525">IF(I525=1,"Event",IF(J525="-","Normal",IF(INDEX(Event_Rumor!$G$2:$G$9,MATCH(J525,Event_Rumor!$A$2:$A$9,0))&gt;ROW(),"Pre","Post")))</f>
        <v>Normal</v>
      </c>
      <c r="L525" s="11" t="str">
        <f t="array" ref="L525">IF(J525="-","-",INDEX(Event_Rumor!$E$2:$E$9,MATCH(J525,Event_Rumor!$A$2:$A$9,0)))</f>
        <v>-</v>
      </c>
    </row>
    <row r="526" spans="1:12" ht="15" customHeight="1" x14ac:dyDescent="0.3">
      <c r="A526" s="26">
        <v>46107</v>
      </c>
      <c r="B526" s="6">
        <v>12391</v>
      </c>
      <c r="C526" s="6">
        <v>12391</v>
      </c>
      <c r="D526" s="6">
        <v>11952</v>
      </c>
      <c r="E526" s="6">
        <v>12147</v>
      </c>
      <c r="F526" s="6">
        <v>49800</v>
      </c>
      <c r="G526" s="7">
        <f t="shared" ref="G526:H526" si="523">(E526-E525)/E525</f>
        <v>-1.9691711726252926E-2</v>
      </c>
      <c r="H526" s="7">
        <f t="shared" si="523"/>
        <v>0.15277777777777779</v>
      </c>
      <c r="I526" s="8">
        <f>IF(COUNTIF(Event_Rumor!$B$2:$B$9,A526)&gt;0,1,0)</f>
        <v>0</v>
      </c>
      <c r="J526" s="8" t="str">
        <f t="array" ref="J5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6" s="8" t="str">
        <f t="array" ref="K526">IF(I526=1,"Event",IF(J526="-","Normal",IF(INDEX(Event_Rumor!$G$2:$G$9,MATCH(J526,Event_Rumor!$A$2:$A$9,0))&gt;ROW(),"Pre","Post")))</f>
        <v>Normal</v>
      </c>
      <c r="L526" s="11" t="str">
        <f t="array" ref="L526">IF(J526="-","-",INDEX(Event_Rumor!$E$2:$E$9,MATCH(J526,Event_Rumor!$A$2:$A$9,0)))</f>
        <v>-</v>
      </c>
    </row>
    <row r="527" spans="1:12" ht="15" customHeight="1" x14ac:dyDescent="0.3">
      <c r="A527" s="26">
        <v>46108</v>
      </c>
      <c r="B527" s="6">
        <v>12196</v>
      </c>
      <c r="C527" s="6">
        <v>12196</v>
      </c>
      <c r="D527" s="6">
        <v>12025</v>
      </c>
      <c r="E527" s="6">
        <v>12025</v>
      </c>
      <c r="F527" s="6">
        <v>12400</v>
      </c>
      <c r="G527" s="7">
        <f t="shared" ref="G527:H527" si="524">(E527-E526)/E526</f>
        <v>-1.0043632172552894E-2</v>
      </c>
      <c r="H527" s="7">
        <f t="shared" si="524"/>
        <v>-0.75100401606425704</v>
      </c>
      <c r="I527" s="8">
        <f>IF(COUNTIF(Event_Rumor!$B$2:$B$9,A527)&gt;0,1,0)</f>
        <v>0</v>
      </c>
      <c r="J527" s="8" t="str">
        <f t="array" ref="J5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27" s="8" t="str">
        <f t="array" ref="K527">IF(I527=1,"Event",IF(J527="-","Normal",IF(INDEX(Event_Rumor!$G$2:$G$9,MATCH(J527,Event_Rumor!$A$2:$A$9,0))&gt;ROW(),"Pre","Post")))</f>
        <v>Normal</v>
      </c>
      <c r="L527" s="11" t="str">
        <f t="array" ref="L527">IF(J527="-","-",INDEX(Event_Rumor!$E$2:$E$9,MATCH(J527,Event_Rumor!$A$2:$A$9,0)))</f>
        <v>-</v>
      </c>
    </row>
    <row r="528" spans="1:12" ht="15" customHeight="1" x14ac:dyDescent="0.3">
      <c r="A528" s="26">
        <v>46111</v>
      </c>
      <c r="B528" s="6">
        <v>12025</v>
      </c>
      <c r="C528" s="6">
        <v>12025</v>
      </c>
      <c r="D528" s="6">
        <v>11513</v>
      </c>
      <c r="E528" s="6">
        <v>11635</v>
      </c>
      <c r="F528" s="6">
        <v>118600</v>
      </c>
      <c r="G528" s="7">
        <f t="shared" ref="G528:H528" si="525">(E528-E527)/E527</f>
        <v>-3.2432432432432434E-2</v>
      </c>
      <c r="H528" s="7">
        <f t="shared" si="525"/>
        <v>8.564516129032258</v>
      </c>
      <c r="I528" s="8">
        <f>IF(COUNTIF(Event_Rumor!$B$2:$B$9,A528)&gt;0,1,0)</f>
        <v>0</v>
      </c>
      <c r="J528" s="8" t="str">
        <f t="array" ref="J5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28" s="8" t="str">
        <f t="array" ref="K528">IF(I528=1,"Event",IF(J528="-","Normal",IF(INDEX(Event_Rumor!$G$2:$G$9,MATCH(J528,Event_Rumor!$A$2:$A$9,0))&gt;ROW(),"Pre","Post")))</f>
        <v>Pre</v>
      </c>
      <c r="L528" s="11">
        <f t="array" ref="L528">IF(J528="-","-",INDEX(Event_Rumor!$E$2:$E$9,MATCH(J528,Event_Rumor!$A$2:$A$9,0)))</f>
        <v>0</v>
      </c>
    </row>
    <row r="529" spans="1:12" ht="15" customHeight="1" x14ac:dyDescent="0.3">
      <c r="A529" s="26">
        <v>46112</v>
      </c>
      <c r="B529" s="6">
        <v>11635</v>
      </c>
      <c r="C529" s="6">
        <v>11635</v>
      </c>
      <c r="D529" s="6">
        <v>11220</v>
      </c>
      <c r="E529" s="6">
        <v>11244</v>
      </c>
      <c r="F529" s="6">
        <v>68700</v>
      </c>
      <c r="G529" s="7">
        <f t="shared" ref="G529:H529" si="526">(E529-E528)/E528</f>
        <v>-3.3605500644606788E-2</v>
      </c>
      <c r="H529" s="7">
        <f t="shared" si="526"/>
        <v>-0.42074198988195616</v>
      </c>
      <c r="I529" s="8">
        <f>IF(COUNTIF(Event_Rumor!$B$2:$B$9,A529)&gt;0,1,0)</f>
        <v>0</v>
      </c>
      <c r="J529" s="8" t="str">
        <f t="array" ref="J5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29" s="8" t="str">
        <f t="array" ref="K529">IF(I529=1,"Event",IF(J529="-","Normal",IF(INDEX(Event_Rumor!$G$2:$G$9,MATCH(J529,Event_Rumor!$A$2:$A$9,0))&gt;ROW(),"Pre","Post")))</f>
        <v>Pre</v>
      </c>
      <c r="L529" s="11">
        <f t="array" ref="L529">IF(J529="-","-",INDEX(Event_Rumor!$E$2:$E$9,MATCH(J529,Event_Rumor!$A$2:$A$9,0)))</f>
        <v>0</v>
      </c>
    </row>
    <row r="530" spans="1:12" ht="15" customHeight="1" x14ac:dyDescent="0.3">
      <c r="A530" s="26">
        <v>46113</v>
      </c>
      <c r="B530" s="6">
        <v>11171</v>
      </c>
      <c r="C530" s="6">
        <v>11220</v>
      </c>
      <c r="D530" s="6">
        <v>11074</v>
      </c>
      <c r="E530" s="6">
        <v>11147</v>
      </c>
      <c r="F530" s="6">
        <v>86700</v>
      </c>
      <c r="G530" s="7">
        <f t="shared" ref="G530:H530" si="527">(E530-E529)/E529</f>
        <v>-8.6268231945926723E-3</v>
      </c>
      <c r="H530" s="7">
        <f t="shared" si="527"/>
        <v>0.26200873362445415</v>
      </c>
      <c r="I530" s="8">
        <f>IF(COUNTIF(Event_Rumor!$B$2:$B$9,A530)&gt;0,1,0)</f>
        <v>0</v>
      </c>
      <c r="J530" s="8" t="str">
        <f t="array" ref="J5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0" s="8" t="str">
        <f t="array" ref="K530">IF(I530=1,"Event",IF(J530="-","Normal",IF(INDEX(Event_Rumor!$G$2:$G$9,MATCH(J530,Event_Rumor!$A$2:$A$9,0))&gt;ROW(),"Pre","Post")))</f>
        <v>Pre</v>
      </c>
      <c r="L530" s="11">
        <f t="array" ref="L530">IF(J530="-","-",INDEX(Event_Rumor!$E$2:$E$9,MATCH(J530,Event_Rumor!$A$2:$A$9,0)))</f>
        <v>0</v>
      </c>
    </row>
    <row r="531" spans="1:12" ht="15" customHeight="1" x14ac:dyDescent="0.3">
      <c r="A531" s="26">
        <v>46114</v>
      </c>
      <c r="B531" s="6">
        <v>11147</v>
      </c>
      <c r="C531" s="6">
        <v>11147</v>
      </c>
      <c r="D531" s="6">
        <v>10391</v>
      </c>
      <c r="E531" s="6">
        <v>10391</v>
      </c>
      <c r="F531" s="6">
        <v>134900</v>
      </c>
      <c r="G531" s="7">
        <f t="shared" ref="G531:H531" si="528">(E531-E530)/E530</f>
        <v>-6.7820938369067912E-2</v>
      </c>
      <c r="H531" s="7">
        <f t="shared" si="528"/>
        <v>0.55594002306805079</v>
      </c>
      <c r="I531" s="8">
        <f>IF(COUNTIF(Event_Rumor!$B$2:$B$9,A531)&gt;0,1,0)</f>
        <v>0</v>
      </c>
      <c r="J531" s="8" t="str">
        <f t="array" ref="J5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1" s="8" t="str">
        <f t="array" ref="K531">IF(I531=1,"Event",IF(J531="-","Normal",IF(INDEX(Event_Rumor!$G$2:$G$9,MATCH(J531,Event_Rumor!$A$2:$A$9,0))&gt;ROW(),"Pre","Post")))</f>
        <v>Pre</v>
      </c>
      <c r="L531" s="11">
        <f t="array" ref="L531">IF(J531="-","-",INDEX(Event_Rumor!$E$2:$E$9,MATCH(J531,Event_Rumor!$A$2:$A$9,0)))</f>
        <v>0</v>
      </c>
    </row>
    <row r="532" spans="1:12" ht="15" customHeight="1" x14ac:dyDescent="0.3">
      <c r="A532" s="26">
        <v>46118</v>
      </c>
      <c r="B532" s="6">
        <v>10391</v>
      </c>
      <c r="C532" s="6">
        <v>10732</v>
      </c>
      <c r="D532" s="6">
        <v>8854</v>
      </c>
      <c r="E532" s="6">
        <v>9781</v>
      </c>
      <c r="F532" s="6">
        <v>680600</v>
      </c>
      <c r="G532" s="7">
        <f t="shared" ref="G532:H532" si="529">(E532-E531)/E531</f>
        <v>-5.8704648253296118E-2</v>
      </c>
      <c r="H532" s="7">
        <f t="shared" si="529"/>
        <v>4.0452186805040773</v>
      </c>
      <c r="I532" s="8">
        <f>IF(COUNTIF(Event_Rumor!$B$2:$B$9,A532)&gt;0,1,0)</f>
        <v>0</v>
      </c>
      <c r="J532" s="8" t="str">
        <f t="array" ref="J5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2" s="8" t="str">
        <f t="array" ref="K532">IF(I532=1,"Event",IF(J532="-","Normal",IF(INDEX(Event_Rumor!$G$2:$G$9,MATCH(J532,Event_Rumor!$A$2:$A$9,0))&gt;ROW(),"Pre","Post")))</f>
        <v>Pre</v>
      </c>
      <c r="L532" s="11">
        <f t="array" ref="L532">IF(J532="-","-",INDEX(Event_Rumor!$E$2:$E$9,MATCH(J532,Event_Rumor!$A$2:$A$9,0)))</f>
        <v>0</v>
      </c>
    </row>
    <row r="533" spans="1:12" ht="15" customHeight="1" x14ac:dyDescent="0.3">
      <c r="A533" s="26">
        <v>46119</v>
      </c>
      <c r="B533" s="6">
        <v>9952</v>
      </c>
      <c r="C533" s="6">
        <v>10830</v>
      </c>
      <c r="D533" s="6">
        <v>9903</v>
      </c>
      <c r="E533" s="6">
        <v>10683</v>
      </c>
      <c r="F533" s="6">
        <v>85200</v>
      </c>
      <c r="G533" s="7">
        <f t="shared" ref="G533:H533" si="530">(E533-E532)/E532</f>
        <v>9.2219609446886827E-2</v>
      </c>
      <c r="H533" s="7">
        <f t="shared" si="530"/>
        <v>-0.87481633852483098</v>
      </c>
      <c r="I533" s="8">
        <f>IF(COUNTIF(Event_Rumor!$B$2:$B$9,A533)&gt;0,1,0)</f>
        <v>1</v>
      </c>
      <c r="J533" s="8" t="str">
        <f t="array" ref="J5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3" s="8" t="str">
        <f t="array" ref="K533">IF(I533=1,"Event",IF(J533="-","Normal",IF(INDEX(Event_Rumor!$G$2:$G$9,MATCH(J533,Event_Rumor!$A$2:$A$9,0))&gt;ROW(),"Pre","Post")))</f>
        <v>Event</v>
      </c>
      <c r="L533" s="11">
        <f t="array" ref="L533">IF(J533="-","-",INDEX(Event_Rumor!$E$2:$E$9,MATCH(J533,Event_Rumor!$A$2:$A$9,0)))</f>
        <v>0</v>
      </c>
    </row>
    <row r="534" spans="1:12" ht="15" customHeight="1" x14ac:dyDescent="0.3">
      <c r="A534" s="26">
        <v>46120</v>
      </c>
      <c r="B534" s="6">
        <v>10683</v>
      </c>
      <c r="C534" s="6">
        <v>10952</v>
      </c>
      <c r="D534" s="6">
        <v>10586</v>
      </c>
      <c r="E534" s="6">
        <v>10854</v>
      </c>
      <c r="F534" s="6">
        <v>96300</v>
      </c>
      <c r="G534" s="7">
        <f t="shared" ref="G534:H534" si="531">(E534-E533)/E533</f>
        <v>1.6006739679865205E-2</v>
      </c>
      <c r="H534" s="7">
        <f t="shared" si="531"/>
        <v>0.13028169014084506</v>
      </c>
      <c r="I534" s="8">
        <f>IF(COUNTIF(Event_Rumor!$B$2:$B$9,A534)&gt;0,1,0)</f>
        <v>0</v>
      </c>
      <c r="J534" s="8" t="str">
        <f t="array" ref="J5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4" s="8" t="str">
        <f t="array" ref="K534">IF(I534=1,"Event",IF(J534="-","Normal",IF(INDEX(Event_Rumor!$G$2:$G$9,MATCH(J534,Event_Rumor!$A$2:$A$9,0))&gt;ROW(),"Pre","Post")))</f>
        <v>Post</v>
      </c>
      <c r="L534" s="11">
        <f t="array" ref="L534">IF(J534="-","-",INDEX(Event_Rumor!$E$2:$E$9,MATCH(J534,Event_Rumor!$A$2:$A$9,0)))</f>
        <v>0</v>
      </c>
    </row>
    <row r="535" spans="1:12" ht="15" customHeight="1" x14ac:dyDescent="0.3">
      <c r="A535" s="26">
        <v>46121</v>
      </c>
      <c r="B535" s="6">
        <v>10879</v>
      </c>
      <c r="C535" s="6">
        <v>11708</v>
      </c>
      <c r="D535" s="6">
        <v>10732</v>
      </c>
      <c r="E535" s="6">
        <v>11562</v>
      </c>
      <c r="F535" s="6">
        <v>176100</v>
      </c>
      <c r="G535" s="7">
        <f t="shared" ref="G535:H535" si="532">(E535-E534)/E534</f>
        <v>6.5229408512990597E-2</v>
      </c>
      <c r="H535" s="7">
        <f t="shared" si="532"/>
        <v>0.82866043613707163</v>
      </c>
      <c r="I535" s="8">
        <f>IF(COUNTIF(Event_Rumor!$B$2:$B$9,A535)&gt;0,1,0)</f>
        <v>0</v>
      </c>
      <c r="J535" s="8" t="str">
        <f t="array" ref="J5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5" s="8" t="str">
        <f t="array" ref="K535">IF(I535=1,"Event",IF(J535="-","Normal",IF(INDEX(Event_Rumor!$G$2:$G$9,MATCH(J535,Event_Rumor!$A$2:$A$9,0))&gt;ROW(),"Pre","Post")))</f>
        <v>Post</v>
      </c>
      <c r="L535" s="11">
        <f t="array" ref="L535">IF(J535="-","-",INDEX(Event_Rumor!$E$2:$E$9,MATCH(J535,Event_Rumor!$A$2:$A$9,0)))</f>
        <v>0</v>
      </c>
    </row>
    <row r="536" spans="1:12" ht="15" customHeight="1" x14ac:dyDescent="0.3">
      <c r="A536" s="26">
        <v>46122</v>
      </c>
      <c r="B536" s="6">
        <v>11562</v>
      </c>
      <c r="C536" s="6">
        <v>12684</v>
      </c>
      <c r="D536" s="6">
        <v>11562</v>
      </c>
      <c r="E536" s="6">
        <v>11732</v>
      </c>
      <c r="F536" s="6">
        <v>150600</v>
      </c>
      <c r="G536" s="7">
        <f t="shared" ref="G536:H536" si="533">(E536-E535)/E535</f>
        <v>1.4703338522746929E-2</v>
      </c>
      <c r="H536" s="7">
        <f t="shared" si="533"/>
        <v>-0.14480408858603067</v>
      </c>
      <c r="I536" s="8">
        <f>IF(COUNTIF(Event_Rumor!$B$2:$B$9,A536)&gt;0,1,0)</f>
        <v>0</v>
      </c>
      <c r="J536" s="8" t="str">
        <f t="array" ref="J5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6" s="8" t="str">
        <f t="array" ref="K536">IF(I536=1,"Event",IF(J536="-","Normal",IF(INDEX(Event_Rumor!$G$2:$G$9,MATCH(J536,Event_Rumor!$A$2:$A$9,0))&gt;ROW(),"Pre","Post")))</f>
        <v>Post</v>
      </c>
      <c r="L536" s="11">
        <f t="array" ref="L536">IF(J536="-","-",INDEX(Event_Rumor!$E$2:$E$9,MATCH(J536,Event_Rumor!$A$2:$A$9,0)))</f>
        <v>0</v>
      </c>
    </row>
    <row r="537" spans="1:12" ht="15" customHeight="1" x14ac:dyDescent="0.3">
      <c r="A537" s="26">
        <v>46125</v>
      </c>
      <c r="B537" s="6">
        <v>11732</v>
      </c>
      <c r="C537" s="6">
        <v>11903</v>
      </c>
      <c r="D537" s="6">
        <v>11708</v>
      </c>
      <c r="E537" s="6">
        <v>11781</v>
      </c>
      <c r="F537" s="6">
        <v>36100</v>
      </c>
      <c r="G537" s="7">
        <f t="shared" ref="G537:H537" si="534">(E537-E536)/E536</f>
        <v>4.1766109785202864E-3</v>
      </c>
      <c r="H537" s="7">
        <f t="shared" si="534"/>
        <v>-0.76029216467463479</v>
      </c>
      <c r="I537" s="8">
        <f>IF(COUNTIF(Event_Rumor!$B$2:$B$9,A537)&gt;0,1,0)</f>
        <v>0</v>
      </c>
      <c r="J537" s="8" t="str">
        <f t="array" ref="J5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7" s="8" t="str">
        <f t="array" ref="K537">IF(I537=1,"Event",IF(J537="-","Normal",IF(INDEX(Event_Rumor!$G$2:$G$9,MATCH(J537,Event_Rumor!$A$2:$A$9,0))&gt;ROW(),"Pre","Post")))</f>
        <v>Post</v>
      </c>
      <c r="L537" s="11">
        <f t="array" ref="L537">IF(J537="-","-",INDEX(Event_Rumor!$E$2:$E$9,MATCH(J537,Event_Rumor!$A$2:$A$9,0)))</f>
        <v>0</v>
      </c>
    </row>
    <row r="538" spans="1:12" ht="15" customHeight="1" x14ac:dyDescent="0.3">
      <c r="A538" s="26">
        <v>46126</v>
      </c>
      <c r="B538" s="6">
        <v>11781</v>
      </c>
      <c r="C538" s="6">
        <v>12147</v>
      </c>
      <c r="D538" s="6">
        <v>11781</v>
      </c>
      <c r="E538" s="6">
        <v>12049</v>
      </c>
      <c r="F538" s="6">
        <v>69900</v>
      </c>
      <c r="G538" s="7">
        <f t="shared" ref="G538:H538" si="535">(E538-E537)/E537</f>
        <v>2.2748493336728629E-2</v>
      </c>
      <c r="H538" s="7">
        <f t="shared" si="535"/>
        <v>0.93628808864265933</v>
      </c>
      <c r="I538" s="8">
        <f>IF(COUNTIF(Event_Rumor!$B$2:$B$9,A538)&gt;0,1,0)</f>
        <v>0</v>
      </c>
      <c r="J538" s="8" t="str">
        <f t="array" ref="J5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E03</v>
      </c>
      <c r="K538" s="8" t="str">
        <f t="array" ref="K538">IF(I538=1,"Event",IF(J538="-","Normal",IF(INDEX(Event_Rumor!$G$2:$G$9,MATCH(J538,Event_Rumor!$A$2:$A$9,0))&gt;ROW(),"Pre","Post")))</f>
        <v>Post</v>
      </c>
      <c r="L538" s="11">
        <f t="array" ref="L538">IF(J538="-","-",INDEX(Event_Rumor!$E$2:$E$9,MATCH(J538,Event_Rumor!$A$2:$A$9,0)))</f>
        <v>0</v>
      </c>
    </row>
    <row r="539" spans="1:12" ht="15" customHeight="1" x14ac:dyDescent="0.3">
      <c r="A539" s="26">
        <v>46127</v>
      </c>
      <c r="B539" s="6">
        <v>12098</v>
      </c>
      <c r="C539" s="6">
        <v>12196</v>
      </c>
      <c r="D539" s="6">
        <v>12049</v>
      </c>
      <c r="E539" s="6">
        <v>12049</v>
      </c>
      <c r="F539" s="6">
        <v>125500</v>
      </c>
      <c r="G539" s="7">
        <f t="shared" ref="G539:H539" si="536">(E539-E538)/E538</f>
        <v>0</v>
      </c>
      <c r="H539" s="7">
        <f t="shared" si="536"/>
        <v>0.79542203147353363</v>
      </c>
      <c r="I539" s="8">
        <f>IF(COUNTIF(Event_Rumor!$B$2:$B$9,A539)&gt;0,1,0)</f>
        <v>0</v>
      </c>
      <c r="J539" s="8" t="str">
        <f t="array" ref="J5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39" s="8" t="str">
        <f t="array" ref="K539">IF(I539=1,"Event",IF(J539="-","Normal",IF(INDEX(Event_Rumor!$G$2:$G$9,MATCH(J539,Event_Rumor!$A$2:$A$9,0))&gt;ROW(),"Pre","Post")))</f>
        <v>Normal</v>
      </c>
      <c r="L539" s="11" t="str">
        <f t="array" ref="L539">IF(J539="-","-",INDEX(Event_Rumor!$E$2:$E$9,MATCH(J539,Event_Rumor!$A$2:$A$9,0)))</f>
        <v>-</v>
      </c>
    </row>
    <row r="540" spans="1:12" ht="15" customHeight="1" x14ac:dyDescent="0.3">
      <c r="A540" s="26">
        <v>46128</v>
      </c>
      <c r="B540" s="6">
        <v>12074</v>
      </c>
      <c r="C540" s="6">
        <v>12513</v>
      </c>
      <c r="D540" s="6">
        <v>12001</v>
      </c>
      <c r="E540" s="6">
        <v>12196</v>
      </c>
      <c r="F540" s="6">
        <v>50100</v>
      </c>
      <c r="G540" s="7">
        <f t="shared" ref="G540:H540" si="537">(E540-E539)/E539</f>
        <v>1.220018258776662E-2</v>
      </c>
      <c r="H540" s="7">
        <f t="shared" si="537"/>
        <v>-0.60079681274900398</v>
      </c>
      <c r="I540" s="8">
        <f>IF(COUNTIF(Event_Rumor!$B$2:$B$9,A540)&gt;0,1,0)</f>
        <v>0</v>
      </c>
      <c r="J540" s="8" t="str">
        <f t="array" ref="J5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0" s="8" t="str">
        <f t="array" ref="K540">IF(I540=1,"Event",IF(J540="-","Normal",IF(INDEX(Event_Rumor!$G$2:$G$9,MATCH(J540,Event_Rumor!$A$2:$A$9,0))&gt;ROW(),"Pre","Post")))</f>
        <v>Normal</v>
      </c>
      <c r="L540" s="11" t="str">
        <f t="array" ref="L540">IF(J540="-","-",INDEX(Event_Rumor!$E$2:$E$9,MATCH(J540,Event_Rumor!$A$2:$A$9,0)))</f>
        <v>-</v>
      </c>
    </row>
    <row r="541" spans="1:12" ht="15" customHeight="1" x14ac:dyDescent="0.3">
      <c r="A541" s="26">
        <v>46129</v>
      </c>
      <c r="B541" s="6">
        <v>12196</v>
      </c>
      <c r="C541" s="6">
        <v>12196</v>
      </c>
      <c r="D541" s="6">
        <v>11805</v>
      </c>
      <c r="E541" s="6">
        <v>12074</v>
      </c>
      <c r="F541" s="6">
        <v>45200</v>
      </c>
      <c r="G541" s="7">
        <f t="shared" ref="G541:H541" si="538">(E541-E540)/E540</f>
        <v>-1.0003279763857002E-2</v>
      </c>
      <c r="H541" s="7">
        <f t="shared" si="538"/>
        <v>-9.7804391217564873E-2</v>
      </c>
      <c r="I541" s="8">
        <f>IF(COUNTIF(Event_Rumor!$B$2:$B$9,A541)&gt;0,1,0)</f>
        <v>0</v>
      </c>
      <c r="J541" s="8" t="str">
        <f t="array" ref="J5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1" s="8" t="str">
        <f t="array" ref="K541">IF(I541=1,"Event",IF(J541="-","Normal",IF(INDEX(Event_Rumor!$G$2:$G$9,MATCH(J541,Event_Rumor!$A$2:$A$9,0))&gt;ROW(),"Pre","Post")))</f>
        <v>Normal</v>
      </c>
      <c r="L541" s="11" t="str">
        <f t="array" ref="L541">IF(J541="-","-",INDEX(Event_Rumor!$E$2:$E$9,MATCH(J541,Event_Rumor!$A$2:$A$9,0)))</f>
        <v>-</v>
      </c>
    </row>
    <row r="542" spans="1:12" ht="15" customHeight="1" x14ac:dyDescent="0.3">
      <c r="A542" s="26">
        <v>46132</v>
      </c>
      <c r="B542" s="6">
        <v>12074</v>
      </c>
      <c r="C542" s="6">
        <v>12074</v>
      </c>
      <c r="D542" s="6">
        <v>11854</v>
      </c>
      <c r="E542" s="6">
        <v>12001</v>
      </c>
      <c r="F542" s="6">
        <v>30200</v>
      </c>
      <c r="G542" s="7">
        <f t="shared" ref="G542:H542" si="539">(E542-E541)/E541</f>
        <v>-6.0460493622660266E-3</v>
      </c>
      <c r="H542" s="7">
        <f t="shared" si="539"/>
        <v>-0.33185840707964603</v>
      </c>
      <c r="I542" s="8">
        <f>IF(COUNTIF(Event_Rumor!$B$2:$B$9,A542)&gt;0,1,0)</f>
        <v>0</v>
      </c>
      <c r="J542" s="8" t="str">
        <f t="array" ref="J5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2" s="8" t="str">
        <f t="array" ref="K542">IF(I542=1,"Event",IF(J542="-","Normal",IF(INDEX(Event_Rumor!$G$2:$G$9,MATCH(J542,Event_Rumor!$A$2:$A$9,0))&gt;ROW(),"Pre","Post")))</f>
        <v>Normal</v>
      </c>
      <c r="L542" s="11" t="str">
        <f t="array" ref="L542">IF(J542="-","-",INDEX(Event_Rumor!$E$2:$E$9,MATCH(J542,Event_Rumor!$A$2:$A$9,0)))</f>
        <v>-</v>
      </c>
    </row>
    <row r="543" spans="1:12" ht="15" customHeight="1" x14ac:dyDescent="0.3">
      <c r="A543" s="26">
        <v>46133</v>
      </c>
      <c r="B543" s="6">
        <v>12001</v>
      </c>
      <c r="C543" s="6">
        <v>12147</v>
      </c>
      <c r="D543" s="6">
        <v>11757</v>
      </c>
      <c r="E543" s="6">
        <v>12074</v>
      </c>
      <c r="F543" s="6">
        <v>24600</v>
      </c>
      <c r="G543" s="7">
        <f t="shared" ref="G543:H543" si="540">(E543-E542)/E542</f>
        <v>6.0828264311307391E-3</v>
      </c>
      <c r="H543" s="7">
        <f t="shared" si="540"/>
        <v>-0.18543046357615894</v>
      </c>
      <c r="I543" s="8">
        <f>IF(COUNTIF(Event_Rumor!$B$2:$B$9,A543)&gt;0,1,0)</f>
        <v>0</v>
      </c>
      <c r="J543" s="8" t="str">
        <f t="array" ref="J5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3" s="8" t="str">
        <f t="array" ref="K543">IF(I543=1,"Event",IF(J543="-","Normal",IF(INDEX(Event_Rumor!$G$2:$G$9,MATCH(J543,Event_Rumor!$A$2:$A$9,0))&gt;ROW(),"Pre","Post")))</f>
        <v>Normal</v>
      </c>
      <c r="L543" s="11" t="str">
        <f t="array" ref="L543">IF(J543="-","-",INDEX(Event_Rumor!$E$2:$E$9,MATCH(J543,Event_Rumor!$A$2:$A$9,0)))</f>
        <v>-</v>
      </c>
    </row>
    <row r="544" spans="1:12" ht="15" customHeight="1" x14ac:dyDescent="0.3">
      <c r="A544" s="26">
        <v>46134</v>
      </c>
      <c r="B544" s="6">
        <v>12074</v>
      </c>
      <c r="C544" s="6">
        <v>12293</v>
      </c>
      <c r="D544" s="6">
        <v>11952</v>
      </c>
      <c r="E544" s="6">
        <v>12049</v>
      </c>
      <c r="F544" s="6">
        <v>28400</v>
      </c>
      <c r="G544" s="7">
        <f t="shared" ref="G544:H544" si="541">(E544-E543)/E543</f>
        <v>-2.0705648500911047E-3</v>
      </c>
      <c r="H544" s="7">
        <f t="shared" si="541"/>
        <v>0.15447154471544716</v>
      </c>
      <c r="I544" s="8">
        <f>IF(COUNTIF(Event_Rumor!$B$2:$B$9,A544)&gt;0,1,0)</f>
        <v>0</v>
      </c>
      <c r="J544" s="8" t="str">
        <f t="array" ref="J5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4" s="8" t="str">
        <f t="array" ref="K544">IF(I544=1,"Event",IF(J544="-","Normal",IF(INDEX(Event_Rumor!$G$2:$G$9,MATCH(J544,Event_Rumor!$A$2:$A$9,0))&gt;ROW(),"Pre","Post")))</f>
        <v>Normal</v>
      </c>
      <c r="L544" s="11" t="str">
        <f t="array" ref="L544">IF(J544="-","-",INDEX(Event_Rumor!$E$2:$E$9,MATCH(J544,Event_Rumor!$A$2:$A$9,0)))</f>
        <v>-</v>
      </c>
    </row>
    <row r="545" spans="1:12" ht="15" customHeight="1" x14ac:dyDescent="0.3">
      <c r="A545" s="26">
        <v>46135</v>
      </c>
      <c r="B545" s="6">
        <v>12098</v>
      </c>
      <c r="C545" s="6">
        <v>12098</v>
      </c>
      <c r="D545" s="6">
        <v>11708</v>
      </c>
      <c r="E545" s="6">
        <v>11854</v>
      </c>
      <c r="F545" s="6">
        <v>20800</v>
      </c>
      <c r="G545" s="7">
        <f t="shared" ref="G545:H545" si="542">(E545-E544)/E544</f>
        <v>-1.6183915677649596E-2</v>
      </c>
      <c r="H545" s="7">
        <f t="shared" si="542"/>
        <v>-0.26760563380281688</v>
      </c>
      <c r="I545" s="8">
        <f>IF(COUNTIF(Event_Rumor!$B$2:$B$9,A545)&gt;0,1,0)</f>
        <v>0</v>
      </c>
      <c r="J545" s="8" t="str">
        <f t="array" ref="J5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5" s="8" t="str">
        <f t="array" ref="K545">IF(I545=1,"Event",IF(J545="-","Normal",IF(INDEX(Event_Rumor!$G$2:$G$9,MATCH(J545,Event_Rumor!$A$2:$A$9,0))&gt;ROW(),"Pre","Post")))</f>
        <v>Normal</v>
      </c>
      <c r="L545" s="11" t="str">
        <f t="array" ref="L545">IF(J545="-","-",INDEX(Event_Rumor!$E$2:$E$9,MATCH(J545,Event_Rumor!$A$2:$A$9,0)))</f>
        <v>-</v>
      </c>
    </row>
    <row r="546" spans="1:12" ht="15" customHeight="1" x14ac:dyDescent="0.3">
      <c r="A546" s="26">
        <v>46136</v>
      </c>
      <c r="B546" s="6">
        <v>11830</v>
      </c>
      <c r="C546" s="6">
        <v>11830</v>
      </c>
      <c r="D546" s="6">
        <v>11464</v>
      </c>
      <c r="E546" s="6">
        <v>11708</v>
      </c>
      <c r="F546" s="6">
        <v>28300</v>
      </c>
      <c r="G546" s="7">
        <f t="shared" ref="G546:H546" si="543">(E546-E545)/E545</f>
        <v>-1.2316517631179349E-2</v>
      </c>
      <c r="H546" s="7">
        <f t="shared" si="543"/>
        <v>0.36057692307692307</v>
      </c>
      <c r="I546" s="8">
        <f>IF(COUNTIF(Event_Rumor!$B$2:$B$9,A546)&gt;0,1,0)</f>
        <v>0</v>
      </c>
      <c r="J546" s="8" t="str">
        <f t="array" ref="J5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6" s="8" t="str">
        <f t="array" ref="K546">IF(I546=1,"Event",IF(J546="-","Normal",IF(INDEX(Event_Rumor!$G$2:$G$9,MATCH(J546,Event_Rumor!$A$2:$A$9,0))&gt;ROW(),"Pre","Post")))</f>
        <v>Normal</v>
      </c>
      <c r="L546" s="11" t="str">
        <f t="array" ref="L546">IF(J546="-","-",INDEX(Event_Rumor!$E$2:$E$9,MATCH(J546,Event_Rumor!$A$2:$A$9,0)))</f>
        <v>-</v>
      </c>
    </row>
    <row r="547" spans="1:12" ht="15" customHeight="1" x14ac:dyDescent="0.3">
      <c r="A547" s="26">
        <v>46139</v>
      </c>
      <c r="B547" s="6">
        <v>11732</v>
      </c>
      <c r="C547" s="6">
        <v>11732</v>
      </c>
      <c r="D547" s="6">
        <v>11244</v>
      </c>
      <c r="E547" s="6">
        <v>11464</v>
      </c>
      <c r="F547" s="6">
        <v>35400</v>
      </c>
      <c r="G547" s="7">
        <f t="shared" ref="G547:H547" si="544">(E547-E546)/E546</f>
        <v>-2.0840450973693202E-2</v>
      </c>
      <c r="H547" s="7">
        <f t="shared" si="544"/>
        <v>0.25088339222614842</v>
      </c>
      <c r="I547" s="8">
        <f>IF(COUNTIF(Event_Rumor!$B$2:$B$9,A547)&gt;0,1,0)</f>
        <v>0</v>
      </c>
      <c r="J547" s="8" t="str">
        <f t="array" ref="J5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7" s="8" t="str">
        <f t="array" ref="K547">IF(I547=1,"Event",IF(J547="-","Normal",IF(INDEX(Event_Rumor!$G$2:$G$9,MATCH(J547,Event_Rumor!$A$2:$A$9,0))&gt;ROW(),"Pre","Post")))</f>
        <v>Normal</v>
      </c>
      <c r="L547" s="11" t="str">
        <f t="array" ref="L547">IF(J547="-","-",INDEX(Event_Rumor!$E$2:$E$9,MATCH(J547,Event_Rumor!$A$2:$A$9,0)))</f>
        <v>-</v>
      </c>
    </row>
    <row r="548" spans="1:12" ht="15" customHeight="1" x14ac:dyDescent="0.3">
      <c r="A548" s="26">
        <v>46140</v>
      </c>
      <c r="B548" s="6">
        <v>11562</v>
      </c>
      <c r="C548" s="6">
        <v>11562</v>
      </c>
      <c r="D548" s="6">
        <v>11220</v>
      </c>
      <c r="E548" s="6">
        <v>11220</v>
      </c>
      <c r="F548" s="6">
        <v>27600</v>
      </c>
      <c r="G548" s="7">
        <f t="shared" ref="G548:H548" si="545">(E548-E547)/E547</f>
        <v>-2.1284019539427775E-2</v>
      </c>
      <c r="H548" s="7">
        <f t="shared" si="545"/>
        <v>-0.22033898305084745</v>
      </c>
      <c r="I548" s="8">
        <f>IF(COUNTIF(Event_Rumor!$B$2:$B$9,A548)&gt;0,1,0)</f>
        <v>0</v>
      </c>
      <c r="J548" s="8" t="str">
        <f t="array" ref="J5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8" s="8" t="str">
        <f t="array" ref="K548">IF(I548=1,"Event",IF(J548="-","Normal",IF(INDEX(Event_Rumor!$G$2:$G$9,MATCH(J548,Event_Rumor!$A$2:$A$9,0))&gt;ROW(),"Pre","Post")))</f>
        <v>Normal</v>
      </c>
      <c r="L548" s="11" t="str">
        <f t="array" ref="L548">IF(J548="-","-",INDEX(Event_Rumor!$E$2:$E$9,MATCH(J548,Event_Rumor!$A$2:$A$9,0)))</f>
        <v>-</v>
      </c>
    </row>
    <row r="549" spans="1:12" ht="15" customHeight="1" x14ac:dyDescent="0.3">
      <c r="A549" s="26">
        <v>46141</v>
      </c>
      <c r="B549" s="6">
        <v>11220</v>
      </c>
      <c r="C549" s="6">
        <v>11269</v>
      </c>
      <c r="D549" s="6">
        <v>11147</v>
      </c>
      <c r="E549" s="6">
        <v>11220</v>
      </c>
      <c r="F549" s="6">
        <v>9500</v>
      </c>
      <c r="G549" s="7">
        <f t="shared" ref="G549:H549" si="546">(E549-E548)/E548</f>
        <v>0</v>
      </c>
      <c r="H549" s="7">
        <f t="shared" si="546"/>
        <v>-0.65579710144927539</v>
      </c>
      <c r="I549" s="8">
        <f>IF(COUNTIF(Event_Rumor!$B$2:$B$9,A549)&gt;0,1,0)</f>
        <v>0</v>
      </c>
      <c r="J549" s="8" t="str">
        <f t="array" ref="J5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49" s="8" t="str">
        <f t="array" ref="K549">IF(I549=1,"Event",IF(J549="-","Normal",IF(INDEX(Event_Rumor!$G$2:$G$9,MATCH(J549,Event_Rumor!$A$2:$A$9,0))&gt;ROW(),"Pre","Post")))</f>
        <v>Normal</v>
      </c>
      <c r="L549" s="11" t="str">
        <f t="array" ref="L549">IF(J549="-","-",INDEX(Event_Rumor!$E$2:$E$9,MATCH(J549,Event_Rumor!$A$2:$A$9,0)))</f>
        <v>-</v>
      </c>
    </row>
    <row r="550" spans="1:12" ht="15" customHeight="1" x14ac:dyDescent="0.3">
      <c r="A550" s="26">
        <v>46142</v>
      </c>
      <c r="B550" s="6">
        <v>10976</v>
      </c>
      <c r="C550" s="6">
        <v>11147</v>
      </c>
      <c r="D550" s="6">
        <v>10830</v>
      </c>
      <c r="E550" s="6">
        <v>11122</v>
      </c>
      <c r="F550" s="6">
        <v>19500</v>
      </c>
      <c r="G550" s="7">
        <f t="shared" ref="G550:H550" si="547">(E550-E549)/E549</f>
        <v>-8.7344028520499103E-3</v>
      </c>
      <c r="H550" s="7">
        <f t="shared" si="547"/>
        <v>1.0526315789473684</v>
      </c>
      <c r="I550" s="8">
        <f>IF(COUNTIF(Event_Rumor!$B$2:$B$9,A550)&gt;0,1,0)</f>
        <v>0</v>
      </c>
      <c r="J550" s="8" t="str">
        <f t="array" ref="J5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0" s="8" t="str">
        <f t="array" ref="K550">IF(I550=1,"Event",IF(J550="-","Normal",IF(INDEX(Event_Rumor!$G$2:$G$9,MATCH(J550,Event_Rumor!$A$2:$A$9,0))&gt;ROW(),"Pre","Post")))</f>
        <v>Normal</v>
      </c>
      <c r="L550" s="11" t="str">
        <f t="array" ref="L550">IF(J550="-","-",INDEX(Event_Rumor!$E$2:$E$9,MATCH(J550,Event_Rumor!$A$2:$A$9,0)))</f>
        <v>-</v>
      </c>
    </row>
    <row r="551" spans="1:12" ht="15" customHeight="1" x14ac:dyDescent="0.3">
      <c r="A551" s="26">
        <v>46146</v>
      </c>
      <c r="B551" s="6">
        <v>11122</v>
      </c>
      <c r="C551" s="6">
        <v>11171</v>
      </c>
      <c r="D551" s="6">
        <v>11074</v>
      </c>
      <c r="E551" s="6">
        <v>11147</v>
      </c>
      <c r="F551" s="6">
        <v>28600</v>
      </c>
      <c r="G551" s="7">
        <f t="shared" ref="G551:H551" si="548">(E551-E550)/E550</f>
        <v>2.2477971587843912E-3</v>
      </c>
      <c r="H551" s="7">
        <f t="shared" si="548"/>
        <v>0.46666666666666667</v>
      </c>
      <c r="I551" s="8">
        <f>IF(COUNTIF(Event_Rumor!$B$2:$B$9,A551)&gt;0,1,0)</f>
        <v>0</v>
      </c>
      <c r="J551" s="8" t="str">
        <f t="array" ref="J5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1" s="8" t="str">
        <f t="array" ref="K551">IF(I551=1,"Event",IF(J551="-","Normal",IF(INDEX(Event_Rumor!$G$2:$G$9,MATCH(J551,Event_Rumor!$A$2:$A$9,0))&gt;ROW(),"Pre","Post")))</f>
        <v>Normal</v>
      </c>
      <c r="L551" s="11" t="str">
        <f t="array" ref="L551">IF(J551="-","-",INDEX(Event_Rumor!$E$2:$E$9,MATCH(J551,Event_Rumor!$A$2:$A$9,0)))</f>
        <v>-</v>
      </c>
    </row>
    <row r="552" spans="1:12" ht="15" customHeight="1" x14ac:dyDescent="0.3">
      <c r="A552" s="26">
        <v>46147</v>
      </c>
      <c r="B552" s="6">
        <v>11122</v>
      </c>
      <c r="C552" s="6">
        <v>11147</v>
      </c>
      <c r="D552" s="6">
        <v>10854</v>
      </c>
      <c r="E552" s="6">
        <v>10903</v>
      </c>
      <c r="F552" s="6">
        <v>18300</v>
      </c>
      <c r="G552" s="7">
        <f t="shared" ref="G552:H552" si="549">(E552-E551)/E551</f>
        <v>-2.1889297568852606E-2</v>
      </c>
      <c r="H552" s="7">
        <f t="shared" si="549"/>
        <v>-0.36013986013986016</v>
      </c>
      <c r="I552" s="8">
        <f>IF(COUNTIF(Event_Rumor!$B$2:$B$9,A552)&gt;0,1,0)</f>
        <v>0</v>
      </c>
      <c r="J552" s="8" t="str">
        <f t="array" ref="J55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2" s="8" t="str">
        <f t="array" ref="K552">IF(I552=1,"Event",IF(J552="-","Normal",IF(INDEX(Event_Rumor!$G$2:$G$9,MATCH(J552,Event_Rumor!$A$2:$A$9,0))&gt;ROW(),"Pre","Post")))</f>
        <v>Normal</v>
      </c>
      <c r="L552" s="11" t="str">
        <f t="array" ref="L552">IF(J552="-","-",INDEX(Event_Rumor!$E$2:$E$9,MATCH(J552,Event_Rumor!$A$2:$A$9,0)))</f>
        <v>-</v>
      </c>
    </row>
    <row r="553" spans="1:12" ht="15" customHeight="1" x14ac:dyDescent="0.3">
      <c r="A553" s="26">
        <v>46148</v>
      </c>
      <c r="B553" s="6">
        <v>10903</v>
      </c>
      <c r="C553" s="6">
        <v>10903</v>
      </c>
      <c r="D553" s="6">
        <v>10732</v>
      </c>
      <c r="E553" s="6">
        <v>10757</v>
      </c>
      <c r="F553" s="6">
        <v>23800</v>
      </c>
      <c r="G553" s="7">
        <f t="shared" ref="G553:H553" si="550">(E553-E552)/E552</f>
        <v>-1.3390809868843438E-2</v>
      </c>
      <c r="H553" s="7">
        <f t="shared" si="550"/>
        <v>0.30054644808743169</v>
      </c>
      <c r="I553" s="8">
        <f>IF(COUNTIF(Event_Rumor!$B$2:$B$9,A553)&gt;0,1,0)</f>
        <v>0</v>
      </c>
      <c r="J553" s="8" t="str">
        <f t="array" ref="J55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3" s="8" t="str">
        <f t="array" ref="K553">IF(I553=1,"Event",IF(J553="-","Normal",IF(INDEX(Event_Rumor!$G$2:$G$9,MATCH(J553,Event_Rumor!$A$2:$A$9,0))&gt;ROW(),"Pre","Post")))</f>
        <v>Normal</v>
      </c>
      <c r="L553" s="11" t="str">
        <f t="array" ref="L553">IF(J553="-","-",INDEX(Event_Rumor!$E$2:$E$9,MATCH(J553,Event_Rumor!$A$2:$A$9,0)))</f>
        <v>-</v>
      </c>
    </row>
    <row r="554" spans="1:12" ht="15" customHeight="1" x14ac:dyDescent="0.3">
      <c r="A554" s="26">
        <v>46149</v>
      </c>
      <c r="B554" s="6">
        <v>10732</v>
      </c>
      <c r="C554" s="6">
        <v>11513</v>
      </c>
      <c r="D554" s="6">
        <v>10732</v>
      </c>
      <c r="E554" s="6">
        <v>10976</v>
      </c>
      <c r="F554" s="6">
        <v>46400</v>
      </c>
      <c r="G554" s="7">
        <f t="shared" ref="G554:H554" si="551">(E554-E553)/E553</f>
        <v>2.0358836106721206E-2</v>
      </c>
      <c r="H554" s="7">
        <f t="shared" si="551"/>
        <v>0.94957983193277307</v>
      </c>
      <c r="I554" s="8">
        <f>IF(COUNTIF(Event_Rumor!$B$2:$B$9,A554)&gt;0,1,0)</f>
        <v>0</v>
      </c>
      <c r="J554" s="8" t="str">
        <f t="array" ref="J55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4" s="8" t="str">
        <f t="array" ref="K554">IF(I554=1,"Event",IF(J554="-","Normal",IF(INDEX(Event_Rumor!$G$2:$G$9,MATCH(J554,Event_Rumor!$A$2:$A$9,0))&gt;ROW(),"Pre","Post")))</f>
        <v>Normal</v>
      </c>
      <c r="L554" s="11" t="str">
        <f t="array" ref="L554">IF(J554="-","-",INDEX(Event_Rumor!$E$2:$E$9,MATCH(J554,Event_Rumor!$A$2:$A$9,0)))</f>
        <v>-</v>
      </c>
    </row>
    <row r="555" spans="1:12" ht="15" customHeight="1" x14ac:dyDescent="0.3">
      <c r="A555" s="26">
        <v>46150</v>
      </c>
      <c r="B555" s="6">
        <v>10976</v>
      </c>
      <c r="C555" s="6">
        <v>11293</v>
      </c>
      <c r="D555" s="6">
        <v>10879</v>
      </c>
      <c r="E555" s="6">
        <v>10927</v>
      </c>
      <c r="F555" s="6">
        <v>164100</v>
      </c>
      <c r="G555" s="7">
        <f t="shared" ref="G555:H555" si="552">(E555-E554)/E554</f>
        <v>-4.464285714285714E-3</v>
      </c>
      <c r="H555" s="7">
        <f t="shared" si="552"/>
        <v>2.5366379310344827</v>
      </c>
      <c r="I555" s="8">
        <f>IF(COUNTIF(Event_Rumor!$B$2:$B$9,A555)&gt;0,1,0)</f>
        <v>0</v>
      </c>
      <c r="J555" s="8" t="str">
        <f t="array" ref="J55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5" s="8" t="str">
        <f t="array" ref="K555">IF(I555=1,"Event",IF(J555="-","Normal",IF(INDEX(Event_Rumor!$G$2:$G$9,MATCH(J555,Event_Rumor!$A$2:$A$9,0))&gt;ROW(),"Pre","Post")))</f>
        <v>Normal</v>
      </c>
      <c r="L555" s="11" t="str">
        <f t="array" ref="L555">IF(J555="-","-",INDEX(Event_Rumor!$E$2:$E$9,MATCH(J555,Event_Rumor!$A$2:$A$9,0)))</f>
        <v>-</v>
      </c>
    </row>
    <row r="556" spans="1:12" ht="15" customHeight="1" x14ac:dyDescent="0.3">
      <c r="A556" s="26">
        <v>46153</v>
      </c>
      <c r="B556" s="6">
        <v>10757</v>
      </c>
      <c r="C556" s="6">
        <v>12342</v>
      </c>
      <c r="D556" s="6">
        <v>10757</v>
      </c>
      <c r="E556" s="6">
        <v>11562</v>
      </c>
      <c r="F556" s="6">
        <v>63900</v>
      </c>
      <c r="G556" s="7">
        <f t="shared" ref="G556:H556" si="553">(E556-E555)/E555</f>
        <v>5.8112931271163175E-2</v>
      </c>
      <c r="H556" s="7">
        <f t="shared" si="553"/>
        <v>-0.61060329067641683</v>
      </c>
      <c r="I556" s="8">
        <f>IF(COUNTIF(Event_Rumor!$B$2:$B$9,A556)&gt;0,1,0)</f>
        <v>0</v>
      </c>
      <c r="J556" s="8" t="str">
        <f t="array" ref="J55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6" s="8" t="str">
        <f t="array" ref="K556">IF(I556=1,"Event",IF(J556="-","Normal",IF(INDEX(Event_Rumor!$G$2:$G$9,MATCH(J556,Event_Rumor!$A$2:$A$9,0))&gt;ROW(),"Pre","Post")))</f>
        <v>Normal</v>
      </c>
      <c r="L556" s="11" t="str">
        <f t="array" ref="L556">IF(J556="-","-",INDEX(Event_Rumor!$E$2:$E$9,MATCH(J556,Event_Rumor!$A$2:$A$9,0)))</f>
        <v>-</v>
      </c>
    </row>
    <row r="557" spans="1:12" ht="15" customHeight="1" x14ac:dyDescent="0.3">
      <c r="A557" s="26">
        <v>46154</v>
      </c>
      <c r="B557" s="6">
        <v>11562</v>
      </c>
      <c r="C557" s="6">
        <v>11586</v>
      </c>
      <c r="D557" s="6">
        <v>11001</v>
      </c>
      <c r="E557" s="6">
        <v>11122</v>
      </c>
      <c r="F557" s="6">
        <v>13900</v>
      </c>
      <c r="G557" s="7">
        <f t="shared" ref="G557:H557" si="554">(E557-E556)/E556</f>
        <v>-3.8055699705933227E-2</v>
      </c>
      <c r="H557" s="7">
        <f t="shared" si="554"/>
        <v>-0.78247261345852892</v>
      </c>
      <c r="I557" s="8">
        <f>IF(COUNTIF(Event_Rumor!$B$2:$B$9,A557)&gt;0,1,0)</f>
        <v>0</v>
      </c>
      <c r="J557" s="8" t="str">
        <f t="array" ref="J55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7" s="8" t="str">
        <f t="array" ref="K557">IF(I557=1,"Event",IF(J557="-","Normal",IF(INDEX(Event_Rumor!$G$2:$G$9,MATCH(J557,Event_Rumor!$A$2:$A$9,0))&gt;ROW(),"Pre","Post")))</f>
        <v>Normal</v>
      </c>
      <c r="L557" s="11" t="str">
        <f t="array" ref="L557">IF(J557="-","-",INDEX(Event_Rumor!$E$2:$E$9,MATCH(J557,Event_Rumor!$A$2:$A$9,0)))</f>
        <v>-</v>
      </c>
    </row>
    <row r="558" spans="1:12" ht="15" customHeight="1" x14ac:dyDescent="0.3">
      <c r="A558" s="26">
        <v>46155</v>
      </c>
      <c r="B558" s="6">
        <v>11122</v>
      </c>
      <c r="C558" s="6">
        <v>11220</v>
      </c>
      <c r="D558" s="6">
        <v>10879</v>
      </c>
      <c r="E558" s="6">
        <v>10927</v>
      </c>
      <c r="F558" s="6">
        <v>12000</v>
      </c>
      <c r="G558" s="7">
        <f t="shared" ref="G558:H558" si="555">(E558-E557)/E557</f>
        <v>-1.7532817838518251E-2</v>
      </c>
      <c r="H558" s="7">
        <f t="shared" si="555"/>
        <v>-0.1366906474820144</v>
      </c>
      <c r="I558" s="8">
        <f>IF(COUNTIF(Event_Rumor!$B$2:$B$9,A558)&gt;0,1,0)</f>
        <v>0</v>
      </c>
      <c r="J558" s="8" t="str">
        <f t="array" ref="J55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8" s="8" t="str">
        <f t="array" ref="K558">IF(I558=1,"Event",IF(J558="-","Normal",IF(INDEX(Event_Rumor!$G$2:$G$9,MATCH(J558,Event_Rumor!$A$2:$A$9,0))&gt;ROW(),"Pre","Post")))</f>
        <v>Normal</v>
      </c>
      <c r="L558" s="11" t="str">
        <f t="array" ref="L558">IF(J558="-","-",INDEX(Event_Rumor!$E$2:$E$9,MATCH(J558,Event_Rumor!$A$2:$A$9,0)))</f>
        <v>-</v>
      </c>
    </row>
    <row r="559" spans="1:12" ht="15" customHeight="1" x14ac:dyDescent="0.3">
      <c r="A559" s="26">
        <v>46160</v>
      </c>
      <c r="B559" s="6">
        <v>10927</v>
      </c>
      <c r="C559" s="6">
        <v>11732</v>
      </c>
      <c r="D559" s="6">
        <v>10147</v>
      </c>
      <c r="E559" s="6">
        <v>11610</v>
      </c>
      <c r="F559" s="6">
        <v>97700</v>
      </c>
      <c r="G559" s="7">
        <f t="shared" ref="G559:H559" si="556">(E559-E558)/E558</f>
        <v>6.2505719776699914E-2</v>
      </c>
      <c r="H559" s="7">
        <f t="shared" si="556"/>
        <v>7.1416666666666666</v>
      </c>
      <c r="I559" s="8">
        <f>IF(COUNTIF(Event_Rumor!$B$2:$B$9,A559)&gt;0,1,0)</f>
        <v>0</v>
      </c>
      <c r="J559" s="8" t="str">
        <f t="array" ref="J55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59" s="8" t="str">
        <f t="array" ref="K559">IF(I559=1,"Event",IF(J559="-","Normal",IF(INDEX(Event_Rumor!$G$2:$G$9,MATCH(J559,Event_Rumor!$A$2:$A$9,0))&gt;ROW(),"Pre","Post")))</f>
        <v>Normal</v>
      </c>
      <c r="L559" s="11" t="str">
        <f t="array" ref="L559">IF(J559="-","-",INDEX(Event_Rumor!$E$2:$E$9,MATCH(J559,Event_Rumor!$A$2:$A$9,0)))</f>
        <v>-</v>
      </c>
    </row>
    <row r="560" spans="1:12" ht="15" customHeight="1" x14ac:dyDescent="0.3">
      <c r="A560" s="26">
        <v>46161</v>
      </c>
      <c r="B560" s="6">
        <v>12001</v>
      </c>
      <c r="C560" s="6">
        <v>12001</v>
      </c>
      <c r="D560" s="6">
        <v>10976</v>
      </c>
      <c r="E560" s="6">
        <v>11171</v>
      </c>
      <c r="F560" s="6">
        <v>34800</v>
      </c>
      <c r="G560" s="7">
        <f t="shared" ref="G560:H560" si="557">(E560-E559)/E559</f>
        <v>-3.7812230835486647E-2</v>
      </c>
      <c r="H560" s="7">
        <f t="shared" si="557"/>
        <v>-0.64380757420675538</v>
      </c>
      <c r="I560" s="8">
        <f>IF(COUNTIF(Event_Rumor!$B$2:$B$9,A560)&gt;0,1,0)</f>
        <v>0</v>
      </c>
      <c r="J560" s="8" t="str">
        <f t="array" ref="J56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60" s="8" t="str">
        <f t="array" ref="K560">IF(I560=1,"Event",IF(J560="-","Normal",IF(INDEX(Event_Rumor!$G$2:$G$9,MATCH(J560,Event_Rumor!$A$2:$A$9,0))&gt;ROW(),"Pre","Post")))</f>
        <v>Normal</v>
      </c>
      <c r="L560" s="11" t="str">
        <f t="array" ref="L560">IF(J560="-","-",INDEX(Event_Rumor!$E$2:$E$9,MATCH(J560,Event_Rumor!$A$2:$A$9,0)))</f>
        <v>-</v>
      </c>
    </row>
    <row r="561" spans="1:12" ht="15" customHeight="1" x14ac:dyDescent="0.3">
      <c r="A561" s="26">
        <v>46162</v>
      </c>
      <c r="B561" s="6">
        <v>11171</v>
      </c>
      <c r="C561" s="6">
        <v>11171</v>
      </c>
      <c r="D561" s="6">
        <v>10561</v>
      </c>
      <c r="E561" s="6">
        <v>10927</v>
      </c>
      <c r="F561" s="6">
        <v>18900</v>
      </c>
      <c r="G561" s="7">
        <f t="shared" ref="G561:H561" si="558">(E561-E560)/E560</f>
        <v>-2.1842270163817026E-2</v>
      </c>
      <c r="H561" s="7">
        <f t="shared" si="558"/>
        <v>-0.45689655172413796</v>
      </c>
      <c r="I561" s="8">
        <f>IF(COUNTIF(Event_Rumor!$B$2:$B$9,A561)&gt;0,1,0)</f>
        <v>0</v>
      </c>
      <c r="J561" s="8" t="str">
        <f t="array" ref="J56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1" s="8" t="str">
        <f t="array" ref="K561">IF(I561=1,"Event",IF(J561="-","Normal",IF(INDEX(Event_Rumor!$G$2:$G$9,MATCH(J561,Event_Rumor!$A$2:$A$9,0))&gt;ROW(),"Pre","Post")))</f>
        <v>Pre</v>
      </c>
      <c r="L561" s="11">
        <f t="array" ref="L561">IF(J561="-","-",INDEX(Event_Rumor!$E$2:$E$9,MATCH(J561,Event_Rumor!$A$2:$A$9,0)))</f>
        <v>0</v>
      </c>
    </row>
    <row r="562" spans="1:12" ht="15" customHeight="1" x14ac:dyDescent="0.3">
      <c r="A562" s="26">
        <v>46163</v>
      </c>
      <c r="B562" s="6">
        <v>10586</v>
      </c>
      <c r="C562" s="6">
        <v>10586</v>
      </c>
      <c r="D562" s="6">
        <v>10122</v>
      </c>
      <c r="E562" s="6">
        <v>10220</v>
      </c>
      <c r="F562" s="6">
        <v>45900</v>
      </c>
      <c r="G562" s="7">
        <f t="shared" ref="G562:H562" si="559">(E562-E561)/E561</f>
        <v>-6.4702114029468294E-2</v>
      </c>
      <c r="H562" s="7">
        <f t="shared" si="559"/>
        <v>1.4285714285714286</v>
      </c>
      <c r="I562" s="8">
        <f>IF(COUNTIF(Event_Rumor!$B$2:$B$9,A562)&gt;0,1,0)</f>
        <v>0</v>
      </c>
      <c r="J562" s="8" t="str">
        <f t="array" ref="J56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2" s="8" t="str">
        <f t="array" ref="K562">IF(I562=1,"Event",IF(J562="-","Normal",IF(INDEX(Event_Rumor!$G$2:$G$9,MATCH(J562,Event_Rumor!$A$2:$A$9,0))&gt;ROW(),"Pre","Post")))</f>
        <v>Pre</v>
      </c>
      <c r="L562" s="11">
        <f t="array" ref="L562">IF(J562="-","-",INDEX(Event_Rumor!$E$2:$E$9,MATCH(J562,Event_Rumor!$A$2:$A$9,0)))</f>
        <v>0</v>
      </c>
    </row>
    <row r="563" spans="1:12" ht="15" customHeight="1" x14ac:dyDescent="0.3">
      <c r="A563" s="26">
        <v>46164</v>
      </c>
      <c r="B563" s="6">
        <v>10244</v>
      </c>
      <c r="C563" s="6">
        <v>10269</v>
      </c>
      <c r="D563" s="6">
        <v>9561</v>
      </c>
      <c r="E563" s="6">
        <v>9757</v>
      </c>
      <c r="F563" s="6">
        <v>94800</v>
      </c>
      <c r="G563" s="7">
        <f t="shared" ref="G563:H563" si="560">(E563-E562)/E562</f>
        <v>-4.5303326810176126E-2</v>
      </c>
      <c r="H563" s="7">
        <f t="shared" si="560"/>
        <v>1.065359477124183</v>
      </c>
      <c r="I563" s="8">
        <f>IF(COUNTIF(Event_Rumor!$B$2:$B$9,A563)&gt;0,1,0)</f>
        <v>0</v>
      </c>
      <c r="J563" s="8" t="str">
        <f t="array" ref="J56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3" s="8" t="str">
        <f t="array" ref="K563">IF(I563=1,"Event",IF(J563="-","Normal",IF(INDEX(Event_Rumor!$G$2:$G$9,MATCH(J563,Event_Rumor!$A$2:$A$9,0))&gt;ROW(),"Pre","Post")))</f>
        <v>Pre</v>
      </c>
      <c r="L563" s="11">
        <f t="array" ref="L563">IF(J563="-","-",INDEX(Event_Rumor!$E$2:$E$9,MATCH(J563,Event_Rumor!$A$2:$A$9,0)))</f>
        <v>0</v>
      </c>
    </row>
    <row r="564" spans="1:12" ht="15" customHeight="1" x14ac:dyDescent="0.3">
      <c r="A564" s="26">
        <v>46167</v>
      </c>
      <c r="B564" s="6">
        <v>9757</v>
      </c>
      <c r="C564" s="6">
        <v>9976</v>
      </c>
      <c r="D564" s="6">
        <v>9342</v>
      </c>
      <c r="E564" s="6">
        <v>9805</v>
      </c>
      <c r="F564" s="6">
        <v>72100</v>
      </c>
      <c r="G564" s="7">
        <f t="shared" ref="G564:H564" si="561">(E564-E563)/E563</f>
        <v>4.9195449420928565E-3</v>
      </c>
      <c r="H564" s="7">
        <f t="shared" si="561"/>
        <v>-0.23945147679324894</v>
      </c>
      <c r="I564" s="8">
        <f>IF(COUNTIF(Event_Rumor!$B$2:$B$9,A564)&gt;0,1,0)</f>
        <v>0</v>
      </c>
      <c r="J564" s="8" t="str">
        <f t="array" ref="J56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4" s="8" t="str">
        <f t="array" ref="K564">IF(I564=1,"Event",IF(J564="-","Normal",IF(INDEX(Event_Rumor!$G$2:$G$9,MATCH(J564,Event_Rumor!$A$2:$A$9,0))&gt;ROW(),"Pre","Post")))</f>
        <v>Pre</v>
      </c>
      <c r="L564" s="11">
        <f t="array" ref="L564">IF(J564="-","-",INDEX(Event_Rumor!$E$2:$E$9,MATCH(J564,Event_Rumor!$A$2:$A$9,0)))</f>
        <v>0</v>
      </c>
    </row>
    <row r="565" spans="1:12" ht="15" customHeight="1" x14ac:dyDescent="0.3">
      <c r="A565" s="26">
        <v>46168</v>
      </c>
      <c r="B565" s="6">
        <v>9805</v>
      </c>
      <c r="C565" s="6">
        <v>9903</v>
      </c>
      <c r="D565" s="6">
        <v>9513</v>
      </c>
      <c r="E565" s="6">
        <v>9683</v>
      </c>
      <c r="F565" s="6">
        <v>55600</v>
      </c>
      <c r="G565" s="7">
        <f t="shared" ref="G565:H565" si="562">(E565-E564)/E564</f>
        <v>-1.2442631310555839E-2</v>
      </c>
      <c r="H565" s="7">
        <f t="shared" si="562"/>
        <v>-0.2288488210818308</v>
      </c>
      <c r="I565" s="8">
        <f>IF(COUNTIF(Event_Rumor!$B$2:$B$9,A565)&gt;0,1,0)</f>
        <v>0</v>
      </c>
      <c r="J565" s="8" t="str">
        <f t="array" ref="J56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5" s="8" t="str">
        <f t="array" ref="K565">IF(I565=1,"Event",IF(J565="-","Normal",IF(INDEX(Event_Rumor!$G$2:$G$9,MATCH(J565,Event_Rumor!$A$2:$A$9,0))&gt;ROW(),"Pre","Post")))</f>
        <v>Pre</v>
      </c>
      <c r="L565" s="11">
        <f t="array" ref="L565">IF(J565="-","-",INDEX(Event_Rumor!$E$2:$E$9,MATCH(J565,Event_Rumor!$A$2:$A$9,0)))</f>
        <v>0</v>
      </c>
    </row>
    <row r="566" spans="1:12" ht="15" customHeight="1" x14ac:dyDescent="0.3">
      <c r="A566" s="26">
        <v>46171</v>
      </c>
      <c r="B566" s="6">
        <v>9586</v>
      </c>
      <c r="C566" s="6">
        <v>10366</v>
      </c>
      <c r="D566" s="6">
        <v>9342</v>
      </c>
      <c r="E566" s="6">
        <v>9586</v>
      </c>
      <c r="F566" s="6">
        <v>73500</v>
      </c>
      <c r="G566" s="7">
        <f t="shared" ref="G566:H566" si="563">(E566-E565)/E565</f>
        <v>-1.0017556542393885E-2</v>
      </c>
      <c r="H566" s="7">
        <f t="shared" si="563"/>
        <v>0.32194244604316546</v>
      </c>
      <c r="I566" s="8">
        <f>IF(COUNTIF(Event_Rumor!$B$2:$B$9,A566)&gt;0,1,0)</f>
        <v>1</v>
      </c>
      <c r="J566" s="8" t="str">
        <f t="array" ref="J56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6" s="8" t="str">
        <f t="array" ref="K566">IF(I566=1,"Event",IF(J566="-","Normal",IF(INDEX(Event_Rumor!$G$2:$G$9,MATCH(J566,Event_Rumor!$A$2:$A$9,0))&gt;ROW(),"Pre","Post")))</f>
        <v>Event</v>
      </c>
      <c r="L566" s="11">
        <f t="array" ref="L566">IF(J566="-","-",INDEX(Event_Rumor!$E$2:$E$9,MATCH(J566,Event_Rumor!$A$2:$A$9,0)))</f>
        <v>0</v>
      </c>
    </row>
    <row r="567" spans="1:12" ht="15" customHeight="1" x14ac:dyDescent="0.3">
      <c r="A567" s="26">
        <v>46175</v>
      </c>
      <c r="B567" s="6">
        <v>9757</v>
      </c>
      <c r="C567" s="6">
        <v>9757</v>
      </c>
      <c r="D567" s="6">
        <v>9415</v>
      </c>
      <c r="E567" s="6">
        <v>9610</v>
      </c>
      <c r="F567" s="6">
        <v>23000</v>
      </c>
      <c r="G567" s="7">
        <f t="shared" ref="G567:H567" si="564">(E567-E566)/E566</f>
        <v>2.5036511579386604E-3</v>
      </c>
      <c r="H567" s="7">
        <f t="shared" si="564"/>
        <v>-0.68707482993197277</v>
      </c>
      <c r="I567" s="8">
        <f>IF(COUNTIF(Event_Rumor!$B$2:$B$9,A567)&gt;0,1,0)</f>
        <v>0</v>
      </c>
      <c r="J567" s="8" t="str">
        <f t="array" ref="J56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7" s="8" t="str">
        <f t="array" ref="K567">IF(I567=1,"Event",IF(J567="-","Normal",IF(INDEX(Event_Rumor!$G$2:$G$9,MATCH(J567,Event_Rumor!$A$2:$A$9,0))&gt;ROW(),"Pre","Post")))</f>
        <v>Post</v>
      </c>
      <c r="L567" s="11">
        <f t="array" ref="L567">IF(J567="-","-",INDEX(Event_Rumor!$E$2:$E$9,MATCH(J567,Event_Rumor!$A$2:$A$9,0)))</f>
        <v>0</v>
      </c>
    </row>
    <row r="568" spans="1:12" ht="15" customHeight="1" x14ac:dyDescent="0.3">
      <c r="A568" s="26">
        <v>46176</v>
      </c>
      <c r="B568" s="6">
        <v>9561</v>
      </c>
      <c r="C568" s="6">
        <v>10244</v>
      </c>
      <c r="D568" s="6">
        <v>9244</v>
      </c>
      <c r="E568" s="6">
        <v>9927</v>
      </c>
      <c r="F568" s="6">
        <v>73700</v>
      </c>
      <c r="G568" s="7">
        <f t="shared" ref="G568:H568" si="565">(E568-E567)/E567</f>
        <v>3.2986472424557753E-2</v>
      </c>
      <c r="H568" s="7">
        <f t="shared" si="565"/>
        <v>2.2043478260869565</v>
      </c>
      <c r="I568" s="8">
        <f>IF(COUNTIF(Event_Rumor!$B$2:$B$9,A568)&gt;0,1,0)</f>
        <v>0</v>
      </c>
      <c r="J568" s="8" t="str">
        <f t="array" ref="J56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8" s="8" t="str">
        <f t="array" ref="K568">IF(I568=1,"Event",IF(J568="-","Normal",IF(INDEX(Event_Rumor!$G$2:$G$9,MATCH(J568,Event_Rumor!$A$2:$A$9,0))&gt;ROW(),"Pre","Post")))</f>
        <v>Post</v>
      </c>
      <c r="L568" s="11">
        <f t="array" ref="L568">IF(J568="-","-",INDEX(Event_Rumor!$E$2:$E$9,MATCH(J568,Event_Rumor!$A$2:$A$9,0)))</f>
        <v>0</v>
      </c>
    </row>
    <row r="569" spans="1:12" ht="15" customHeight="1" x14ac:dyDescent="0.3">
      <c r="A569" s="26">
        <v>46177</v>
      </c>
      <c r="B569" s="6">
        <v>9805</v>
      </c>
      <c r="C569" s="6">
        <v>9805</v>
      </c>
      <c r="D569" s="6">
        <v>9195</v>
      </c>
      <c r="E569" s="6">
        <v>9683</v>
      </c>
      <c r="F569" s="6">
        <v>47200</v>
      </c>
      <c r="G569" s="7">
        <f t="shared" ref="G569:H569" si="566">(E569-E568)/E568</f>
        <v>-2.4579429837816056E-2</v>
      </c>
      <c r="H569" s="7">
        <f t="shared" si="566"/>
        <v>-0.35956580732700133</v>
      </c>
      <c r="I569" s="8">
        <f>IF(COUNTIF(Event_Rumor!$B$2:$B$9,A569)&gt;0,1,0)</f>
        <v>0</v>
      </c>
      <c r="J569" s="8" t="str">
        <f t="array" ref="J56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69" s="8" t="str">
        <f t="array" ref="K569">IF(I569=1,"Event",IF(J569="-","Normal",IF(INDEX(Event_Rumor!$G$2:$G$9,MATCH(J569,Event_Rumor!$A$2:$A$9,0))&gt;ROW(),"Pre","Post")))</f>
        <v>Post</v>
      </c>
      <c r="L569" s="11">
        <f t="array" ref="L569">IF(J569="-","-",INDEX(Event_Rumor!$E$2:$E$9,MATCH(J569,Event_Rumor!$A$2:$A$9,0)))</f>
        <v>0</v>
      </c>
    </row>
    <row r="570" spans="1:12" ht="15" customHeight="1" x14ac:dyDescent="0.3">
      <c r="A570" s="26">
        <v>46178</v>
      </c>
      <c r="B570" s="6">
        <v>9683</v>
      </c>
      <c r="C570" s="6">
        <v>9708</v>
      </c>
      <c r="D570" s="6">
        <v>9269</v>
      </c>
      <c r="E570" s="6">
        <v>9293</v>
      </c>
      <c r="F570" s="6">
        <v>37000</v>
      </c>
      <c r="G570" s="7">
        <f t="shared" ref="G570:H570" si="567">(E570-E569)/E569</f>
        <v>-4.0276773727150675E-2</v>
      </c>
      <c r="H570" s="7">
        <f t="shared" si="567"/>
        <v>-0.21610169491525424</v>
      </c>
      <c r="I570" s="8">
        <f>IF(COUNTIF(Event_Rumor!$B$2:$B$9,A570)&gt;0,1,0)</f>
        <v>0</v>
      </c>
      <c r="J570" s="8" t="str">
        <f t="array" ref="J57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70" s="8" t="str">
        <f t="array" ref="K570">IF(I570=1,"Event",IF(J570="-","Normal",IF(INDEX(Event_Rumor!$G$2:$G$9,MATCH(J570,Event_Rumor!$A$2:$A$9,0))&gt;ROW(),"Pre","Post")))</f>
        <v>Post</v>
      </c>
      <c r="L570" s="11">
        <f t="array" ref="L570">IF(J570="-","-",INDEX(Event_Rumor!$E$2:$E$9,MATCH(J570,Event_Rumor!$A$2:$A$9,0)))</f>
        <v>0</v>
      </c>
    </row>
    <row r="571" spans="1:12" ht="15" customHeight="1" x14ac:dyDescent="0.3">
      <c r="A571" s="26">
        <v>46181</v>
      </c>
      <c r="B571" s="6">
        <v>9293</v>
      </c>
      <c r="C571" s="6">
        <v>9561</v>
      </c>
      <c r="D571" s="6">
        <v>9171</v>
      </c>
      <c r="E571" s="6">
        <v>9366</v>
      </c>
      <c r="F571" s="6">
        <v>46100</v>
      </c>
      <c r="G571" s="7">
        <f t="shared" ref="G571:H571" si="568">(E571-E570)/E570</f>
        <v>7.8553750134509846E-3</v>
      </c>
      <c r="H571" s="7">
        <f t="shared" si="568"/>
        <v>0.24594594594594596</v>
      </c>
      <c r="I571" s="8">
        <f>IF(COUNTIF(Event_Rumor!$B$2:$B$9,A571)&gt;0,1,0)</f>
        <v>0</v>
      </c>
      <c r="J571" s="8" t="str">
        <f t="array" ref="J57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E04</v>
      </c>
      <c r="K571" s="8" t="str">
        <f t="array" ref="K571">IF(I571=1,"Event",IF(J571="-","Normal",IF(INDEX(Event_Rumor!$G$2:$G$9,MATCH(J571,Event_Rumor!$A$2:$A$9,0))&gt;ROW(),"Pre","Post")))</f>
        <v>Post</v>
      </c>
      <c r="L571" s="11">
        <f t="array" ref="L571">IF(J571="-","-",INDEX(Event_Rumor!$E$2:$E$9,MATCH(J571,Event_Rumor!$A$2:$A$9,0)))</f>
        <v>0</v>
      </c>
    </row>
    <row r="572" spans="1:12" ht="15" customHeight="1" x14ac:dyDescent="0.3">
      <c r="A572" s="26">
        <v>46182</v>
      </c>
      <c r="B572" s="6">
        <v>9171</v>
      </c>
      <c r="C572" s="6">
        <v>9659</v>
      </c>
      <c r="D572" s="6">
        <v>9025</v>
      </c>
      <c r="E572" s="6">
        <v>9366</v>
      </c>
      <c r="F572" s="6">
        <v>126400</v>
      </c>
      <c r="G572" s="7">
        <f t="shared" ref="G572:H572" si="569">(E572-E571)/E571</f>
        <v>0</v>
      </c>
      <c r="H572" s="7">
        <f t="shared" si="569"/>
        <v>1.7418655097613882</v>
      </c>
      <c r="I572" s="8">
        <f>IF(COUNTIF(Event_Rumor!$B$2:$B$9,A572)&gt;0,1,0)</f>
        <v>0</v>
      </c>
      <c r="J572" s="8" t="str">
        <f t="array" ref="J57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2" s="8" t="str">
        <f t="array" ref="K572">IF(I572=1,"Event",IF(J572="-","Normal",IF(INDEX(Event_Rumor!$G$2:$G$9,MATCH(J572,Event_Rumor!$A$2:$A$9,0))&gt;ROW(),"Pre","Post")))</f>
        <v>Normal</v>
      </c>
      <c r="L572" s="11" t="str">
        <f t="array" ref="L572">IF(J572="-","-",INDEX(Event_Rumor!$E$2:$E$9,MATCH(J572,Event_Rumor!$A$2:$A$9,0)))</f>
        <v>-</v>
      </c>
    </row>
    <row r="573" spans="1:12" ht="15" customHeight="1" x14ac:dyDescent="0.3">
      <c r="A573" s="26">
        <v>46183</v>
      </c>
      <c r="B573" s="6">
        <v>9537</v>
      </c>
      <c r="C573" s="6">
        <v>9757</v>
      </c>
      <c r="D573" s="6">
        <v>9317</v>
      </c>
      <c r="E573" s="6">
        <v>9635</v>
      </c>
      <c r="F573" s="6">
        <v>99000</v>
      </c>
      <c r="G573" s="7">
        <f t="shared" ref="G573:H573" si="570">(E573-E572)/E572</f>
        <v>2.8720905402519752E-2</v>
      </c>
      <c r="H573" s="7">
        <f t="shared" si="570"/>
        <v>-0.21677215189873417</v>
      </c>
      <c r="I573" s="8">
        <f>IF(COUNTIF(Event_Rumor!$B$2:$B$9,A573)&gt;0,1,0)</f>
        <v>0</v>
      </c>
      <c r="J573" s="8" t="str">
        <f t="array" ref="J57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3" s="8" t="str">
        <f t="array" ref="K573">IF(I573=1,"Event",IF(J573="-","Normal",IF(INDEX(Event_Rumor!$G$2:$G$9,MATCH(J573,Event_Rumor!$A$2:$A$9,0))&gt;ROW(),"Pre","Post")))</f>
        <v>Normal</v>
      </c>
      <c r="L573" s="11" t="str">
        <f t="array" ref="L573">IF(J573="-","-",INDEX(Event_Rumor!$E$2:$E$9,MATCH(J573,Event_Rumor!$A$2:$A$9,0)))</f>
        <v>-</v>
      </c>
    </row>
    <row r="574" spans="1:12" ht="15" customHeight="1" x14ac:dyDescent="0.3">
      <c r="A574" s="26">
        <v>46184</v>
      </c>
      <c r="B574" s="6">
        <v>9610</v>
      </c>
      <c r="C574" s="6">
        <v>9610</v>
      </c>
      <c r="D574" s="6">
        <v>9366</v>
      </c>
      <c r="E574" s="6">
        <v>9464</v>
      </c>
      <c r="F574" s="6">
        <v>76000</v>
      </c>
      <c r="G574" s="7">
        <f t="shared" ref="G574:H574" si="571">(E574-E573)/E573</f>
        <v>-1.7747794499221588E-2</v>
      </c>
      <c r="H574" s="7">
        <f t="shared" si="571"/>
        <v>-0.23232323232323232</v>
      </c>
      <c r="I574" s="8">
        <f>IF(COUNTIF(Event_Rumor!$B$2:$B$9,A574)&gt;0,1,0)</f>
        <v>0</v>
      </c>
      <c r="J574" s="8" t="str">
        <f t="array" ref="J57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4" s="8" t="str">
        <f t="array" ref="K574">IF(I574=1,"Event",IF(J574="-","Normal",IF(INDEX(Event_Rumor!$G$2:$G$9,MATCH(J574,Event_Rumor!$A$2:$A$9,0))&gt;ROW(),"Pre","Post")))</f>
        <v>Normal</v>
      </c>
      <c r="L574" s="11" t="str">
        <f t="array" ref="L574">IF(J574="-","-",INDEX(Event_Rumor!$E$2:$E$9,MATCH(J574,Event_Rumor!$A$2:$A$9,0)))</f>
        <v>-</v>
      </c>
    </row>
    <row r="575" spans="1:12" ht="15" customHeight="1" x14ac:dyDescent="0.3">
      <c r="A575" s="26">
        <v>46185</v>
      </c>
      <c r="B575" s="6">
        <v>9464</v>
      </c>
      <c r="C575" s="6">
        <v>9757</v>
      </c>
      <c r="D575" s="6">
        <v>9391</v>
      </c>
      <c r="E575" s="6">
        <v>9464</v>
      </c>
      <c r="F575" s="6">
        <v>224500</v>
      </c>
      <c r="G575" s="7">
        <f t="shared" ref="G575:H575" si="572">(E575-E574)/E574</f>
        <v>0</v>
      </c>
      <c r="H575" s="7">
        <f t="shared" si="572"/>
        <v>1.9539473684210527</v>
      </c>
      <c r="I575" s="8">
        <f>IF(COUNTIF(Event_Rumor!$B$2:$B$9,A575)&gt;0,1,0)</f>
        <v>0</v>
      </c>
      <c r="J575" s="8" t="str">
        <f t="array" ref="J57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5" s="8" t="str">
        <f t="array" ref="K575">IF(I575=1,"Event",IF(J575="-","Normal",IF(INDEX(Event_Rumor!$G$2:$G$9,MATCH(J575,Event_Rumor!$A$2:$A$9,0))&gt;ROW(),"Pre","Post")))</f>
        <v>Normal</v>
      </c>
      <c r="L575" s="11" t="str">
        <f t="array" ref="L575">IF(J575="-","-",INDEX(Event_Rumor!$E$2:$E$9,MATCH(J575,Event_Rumor!$A$2:$A$9,0)))</f>
        <v>-</v>
      </c>
    </row>
    <row r="576" spans="1:12" ht="15" customHeight="1" x14ac:dyDescent="0.3">
      <c r="A576" s="26">
        <v>46188</v>
      </c>
      <c r="B576" s="6">
        <v>9488</v>
      </c>
      <c r="C576" s="6">
        <v>9561</v>
      </c>
      <c r="D576" s="6">
        <v>9464</v>
      </c>
      <c r="E576" s="6">
        <v>9537</v>
      </c>
      <c r="F576" s="6">
        <v>156600</v>
      </c>
      <c r="G576" s="7">
        <f t="shared" ref="G576:H576" si="573">(E576-E575)/E575</f>
        <v>7.7134404057480977E-3</v>
      </c>
      <c r="H576" s="7">
        <f t="shared" si="573"/>
        <v>-0.30244988864142541</v>
      </c>
      <c r="I576" s="8">
        <f>IF(COUNTIF(Event_Rumor!$B$2:$B$9,A576)&gt;0,1,0)</f>
        <v>0</v>
      </c>
      <c r="J576" s="8" t="str">
        <f t="array" ref="J57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6" s="8" t="str">
        <f t="array" ref="K576">IF(I576=1,"Event",IF(J576="-","Normal",IF(INDEX(Event_Rumor!$G$2:$G$9,MATCH(J576,Event_Rumor!$A$2:$A$9,0))&gt;ROW(),"Pre","Post")))</f>
        <v>Normal</v>
      </c>
      <c r="L576" s="11" t="str">
        <f t="array" ref="L576">IF(J576="-","-",INDEX(Event_Rumor!$E$2:$E$9,MATCH(J576,Event_Rumor!$A$2:$A$9,0)))</f>
        <v>-</v>
      </c>
    </row>
    <row r="577" spans="1:12" ht="15" customHeight="1" x14ac:dyDescent="0.3">
      <c r="A577" s="26">
        <v>46190</v>
      </c>
      <c r="B577" s="6">
        <v>9757</v>
      </c>
      <c r="C577" s="6">
        <v>9757</v>
      </c>
      <c r="D577" s="6">
        <v>8732</v>
      </c>
      <c r="E577" s="6">
        <v>9366</v>
      </c>
      <c r="F577" s="6">
        <v>809100</v>
      </c>
      <c r="G577" s="7">
        <f t="shared" ref="G577:H577" si="574">(E577-E576)/E576</f>
        <v>-1.7930166719094056E-2</v>
      </c>
      <c r="H577" s="7">
        <f t="shared" si="574"/>
        <v>4.166666666666667</v>
      </c>
      <c r="I577" s="8">
        <f>IF(COUNTIF(Event_Rumor!$B$2:$B$9,A577)&gt;0,1,0)</f>
        <v>0</v>
      </c>
      <c r="J577" s="8" t="str">
        <f t="array" ref="J57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7" s="8" t="str">
        <f t="array" ref="K577">IF(I577=1,"Event",IF(J577="-","Normal",IF(INDEX(Event_Rumor!$G$2:$G$9,MATCH(J577,Event_Rumor!$A$2:$A$9,0))&gt;ROW(),"Pre","Post")))</f>
        <v>Normal</v>
      </c>
      <c r="L577" s="11" t="str">
        <f t="array" ref="L577">IF(J577="-","-",INDEX(Event_Rumor!$E$2:$E$9,MATCH(J577,Event_Rumor!$A$2:$A$9,0)))</f>
        <v>-</v>
      </c>
    </row>
    <row r="578" spans="1:12" ht="15" customHeight="1" x14ac:dyDescent="0.3">
      <c r="A578" s="26">
        <v>46191</v>
      </c>
      <c r="B578" s="6">
        <v>9366</v>
      </c>
      <c r="C578" s="6">
        <v>9464</v>
      </c>
      <c r="D578" s="6">
        <v>9317</v>
      </c>
      <c r="E578" s="6">
        <v>9464</v>
      </c>
      <c r="F578" s="6">
        <v>138200</v>
      </c>
      <c r="G578" s="7">
        <f t="shared" ref="G578:H578" si="575">(E578-E577)/E577</f>
        <v>1.0463378176382661E-2</v>
      </c>
      <c r="H578" s="7">
        <f t="shared" si="575"/>
        <v>-0.82919293041651221</v>
      </c>
      <c r="I578" s="8">
        <f>IF(COUNTIF(Event_Rumor!$B$2:$B$9,A578)&gt;0,1,0)</f>
        <v>0</v>
      </c>
      <c r="J578" s="8" t="str">
        <f t="array" ref="J57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8" s="8" t="str">
        <f t="array" ref="K578">IF(I578=1,"Event",IF(J578="-","Normal",IF(INDEX(Event_Rumor!$G$2:$G$9,MATCH(J578,Event_Rumor!$A$2:$A$9,0))&gt;ROW(),"Pre","Post")))</f>
        <v>Normal</v>
      </c>
      <c r="L578" s="11" t="str">
        <f t="array" ref="L578">IF(J578="-","-",INDEX(Event_Rumor!$E$2:$E$9,MATCH(J578,Event_Rumor!$A$2:$A$9,0)))</f>
        <v>-</v>
      </c>
    </row>
    <row r="579" spans="1:12" ht="15" customHeight="1" x14ac:dyDescent="0.3">
      <c r="A579" s="26">
        <v>46192</v>
      </c>
      <c r="B579" s="6">
        <v>9464</v>
      </c>
      <c r="C579" s="6">
        <v>10952</v>
      </c>
      <c r="D579" s="6">
        <v>9464</v>
      </c>
      <c r="E579" s="6">
        <v>10732</v>
      </c>
      <c r="F579" s="6">
        <v>249300</v>
      </c>
      <c r="G579" s="7">
        <f t="shared" ref="G579:H579" si="576">(E579-E578)/E578</f>
        <v>0.13398140321217245</v>
      </c>
      <c r="H579" s="7">
        <f t="shared" si="576"/>
        <v>0.80390738060781475</v>
      </c>
      <c r="I579" s="8">
        <f>IF(COUNTIF(Event_Rumor!$B$2:$B$9,A579)&gt;0,1,0)</f>
        <v>0</v>
      </c>
      <c r="J579" s="8" t="str">
        <f t="array" ref="J57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79" s="8" t="str">
        <f t="array" ref="K579">IF(I579=1,"Event",IF(J579="-","Normal",IF(INDEX(Event_Rumor!$G$2:$G$9,MATCH(J579,Event_Rumor!$A$2:$A$9,0))&gt;ROW(),"Pre","Post")))</f>
        <v>Normal</v>
      </c>
      <c r="L579" s="11" t="str">
        <f t="array" ref="L579">IF(J579="-","-",INDEX(Event_Rumor!$E$2:$E$9,MATCH(J579,Event_Rumor!$A$2:$A$9,0)))</f>
        <v>-</v>
      </c>
    </row>
    <row r="580" spans="1:12" ht="15" customHeight="1" x14ac:dyDescent="0.3">
      <c r="A580" s="26">
        <v>46195</v>
      </c>
      <c r="B580" s="6">
        <v>11000</v>
      </c>
      <c r="C580" s="6">
        <v>13200</v>
      </c>
      <c r="D580" s="6">
        <v>11000</v>
      </c>
      <c r="E580" s="6">
        <v>13200</v>
      </c>
      <c r="F580" s="6">
        <v>828400</v>
      </c>
      <c r="G580" s="7">
        <f t="shared" ref="G580:H580" si="577">(E580-E579)/E579</f>
        <v>0.22996645546030564</v>
      </c>
      <c r="H580" s="7">
        <f t="shared" si="577"/>
        <v>2.3229041315683916</v>
      </c>
      <c r="I580" s="8">
        <f>IF(COUNTIF(Event_Rumor!$B$2:$B$9,A580)&gt;0,1,0)</f>
        <v>0</v>
      </c>
      <c r="J580" s="8" t="str">
        <f t="array" ref="J58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0" s="8" t="str">
        <f t="array" ref="K580">IF(I580=1,"Event",IF(J580="-","Normal",IF(INDEX(Event_Rumor!$G$2:$G$9,MATCH(J580,Event_Rumor!$A$2:$A$9,0))&gt;ROW(),"Pre","Post")))</f>
        <v>Normal</v>
      </c>
      <c r="L580" s="11" t="str">
        <f t="array" ref="L580">IF(J580="-","-",INDEX(Event_Rumor!$E$2:$E$9,MATCH(J580,Event_Rumor!$A$2:$A$9,0)))</f>
        <v>-</v>
      </c>
    </row>
    <row r="581" spans="1:12" ht="15" customHeight="1" x14ac:dyDescent="0.3">
      <c r="A581" s="26">
        <v>46196</v>
      </c>
      <c r="B581" s="6">
        <v>12425</v>
      </c>
      <c r="C581" s="6">
        <v>12700</v>
      </c>
      <c r="D581" s="6">
        <v>11325</v>
      </c>
      <c r="E581" s="6">
        <v>11900</v>
      </c>
      <c r="F581" s="6">
        <v>350500</v>
      </c>
      <c r="G581" s="7">
        <f t="shared" ref="G581:H581" si="578">(E581-E580)/E580</f>
        <v>-9.8484848484848481E-2</v>
      </c>
      <c r="H581" s="7">
        <f t="shared" si="578"/>
        <v>-0.57689521970062774</v>
      </c>
      <c r="I581" s="8">
        <f>IF(COUNTIF(Event_Rumor!$B$2:$B$9,A581)&gt;0,1,0)</f>
        <v>0</v>
      </c>
      <c r="J581" s="8" t="str">
        <f t="array" ref="J58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1" s="8" t="str">
        <f t="array" ref="K581">IF(I581=1,"Event",IF(J581="-","Normal",IF(INDEX(Event_Rumor!$G$2:$G$9,MATCH(J581,Event_Rumor!$A$2:$A$9,0))&gt;ROW(),"Pre","Post")))</f>
        <v>Normal</v>
      </c>
      <c r="L581" s="11" t="str">
        <f t="array" ref="L581">IF(J581="-","-",INDEX(Event_Rumor!$E$2:$E$9,MATCH(J581,Event_Rumor!$A$2:$A$9,0)))</f>
        <v>-</v>
      </c>
    </row>
    <row r="582" spans="1:12" ht="15" customHeight="1" x14ac:dyDescent="0.3">
      <c r="A582" s="26">
        <v>46197</v>
      </c>
      <c r="B582" s="6">
        <v>12125</v>
      </c>
      <c r="C582" s="6">
        <v>12600</v>
      </c>
      <c r="D582" s="6">
        <v>11625</v>
      </c>
      <c r="E582" s="6">
        <v>11800</v>
      </c>
      <c r="F582" s="6">
        <v>209400</v>
      </c>
      <c r="G582" s="7">
        <f t="shared" ref="G582:H582" si="579">(E582-E581)/E581</f>
        <v>-8.4033613445378148E-3</v>
      </c>
      <c r="H582" s="7">
        <f t="shared" si="579"/>
        <v>-0.40256776034236802</v>
      </c>
      <c r="I582" s="8">
        <f>IF(COUNTIF(Event_Rumor!$B$2:$B$9,A582)&gt;0,1,0)</f>
        <v>0</v>
      </c>
      <c r="J582" s="8" t="str">
        <f t="array" ref="J58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2" s="8" t="str">
        <f t="array" ref="K582">IF(I582=1,"Event",IF(J582="-","Normal",IF(INDEX(Event_Rumor!$G$2:$G$9,MATCH(J582,Event_Rumor!$A$2:$A$9,0))&gt;ROW(),"Pre","Post")))</f>
        <v>Normal</v>
      </c>
      <c r="L582" s="11" t="str">
        <f t="array" ref="L582">IF(J582="-","-",INDEX(Event_Rumor!$E$2:$E$9,MATCH(J582,Event_Rumor!$A$2:$A$9,0)))</f>
        <v>-</v>
      </c>
    </row>
    <row r="583" spans="1:12" ht="15" customHeight="1" x14ac:dyDescent="0.3">
      <c r="A583" s="26">
        <v>46198</v>
      </c>
      <c r="B583" s="6">
        <v>11800</v>
      </c>
      <c r="C583" s="6">
        <v>12150</v>
      </c>
      <c r="D583" s="6">
        <v>11800</v>
      </c>
      <c r="E583" s="6">
        <v>11800</v>
      </c>
      <c r="F583" s="6">
        <v>57000</v>
      </c>
      <c r="G583" s="7">
        <f t="shared" ref="G583:H583" si="580">(E583-E582)/E582</f>
        <v>0</v>
      </c>
      <c r="H583" s="7">
        <f t="shared" si="580"/>
        <v>-0.72779369627507162</v>
      </c>
      <c r="I583" s="8">
        <f>IF(COUNTIF(Event_Rumor!$B$2:$B$9,A583)&gt;0,1,0)</f>
        <v>0</v>
      </c>
      <c r="J583" s="8" t="str">
        <f t="array" ref="J58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3" s="8" t="str">
        <f t="array" ref="K583">IF(I583=1,"Event",IF(J583="-","Normal",IF(INDEX(Event_Rumor!$G$2:$G$9,MATCH(J583,Event_Rumor!$A$2:$A$9,0))&gt;ROW(),"Pre","Post")))</f>
        <v>Normal</v>
      </c>
      <c r="L583" s="11" t="str">
        <f t="array" ref="L583">IF(J583="-","-",INDEX(Event_Rumor!$E$2:$E$9,MATCH(J583,Event_Rumor!$A$2:$A$9,0)))</f>
        <v>-</v>
      </c>
    </row>
    <row r="584" spans="1:12" ht="15" customHeight="1" x14ac:dyDescent="0.3">
      <c r="A584" s="26">
        <v>46199</v>
      </c>
      <c r="B584" s="6">
        <v>11800</v>
      </c>
      <c r="C584" s="6">
        <v>12300</v>
      </c>
      <c r="D584" s="6">
        <v>11650</v>
      </c>
      <c r="E584" s="6">
        <v>11750</v>
      </c>
      <c r="F584" s="6">
        <v>44200</v>
      </c>
      <c r="G584" s="7">
        <f t="shared" ref="G584:H584" si="581">(E584-E583)/E583</f>
        <v>-4.2372881355932203E-3</v>
      </c>
      <c r="H584" s="7">
        <f t="shared" si="581"/>
        <v>-0.22456140350877193</v>
      </c>
      <c r="I584" s="8">
        <f>IF(COUNTIF(Event_Rumor!$B$2:$B$9,A584)&gt;0,1,0)</f>
        <v>0</v>
      </c>
      <c r="J584" s="8" t="str">
        <f t="array" ref="J58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4" s="8" t="str">
        <f t="array" ref="K584">IF(I584=1,"Event",IF(J584="-","Normal",IF(INDEX(Event_Rumor!$G$2:$G$9,MATCH(J584,Event_Rumor!$A$2:$A$9,0))&gt;ROW(),"Pre","Post")))</f>
        <v>Normal</v>
      </c>
      <c r="L584" s="11" t="str">
        <f t="array" ref="L584">IF(J584="-","-",INDEX(Event_Rumor!$E$2:$E$9,MATCH(J584,Event_Rumor!$A$2:$A$9,0)))</f>
        <v>-</v>
      </c>
    </row>
    <row r="585" spans="1:12" ht="15" customHeight="1" x14ac:dyDescent="0.3">
      <c r="A585" s="26">
        <v>46202</v>
      </c>
      <c r="B585" s="6">
        <v>12000</v>
      </c>
      <c r="C585" s="6">
        <v>12050</v>
      </c>
      <c r="D585" s="6">
        <v>11750</v>
      </c>
      <c r="E585" s="6">
        <v>11750</v>
      </c>
      <c r="F585" s="6">
        <v>33200</v>
      </c>
      <c r="G585" s="7">
        <f t="shared" ref="G585:H585" si="582">(E585-E584)/E584</f>
        <v>0</v>
      </c>
      <c r="H585" s="7">
        <f t="shared" si="582"/>
        <v>-0.24886877828054299</v>
      </c>
      <c r="I585" s="8">
        <f>IF(COUNTIF(Event_Rumor!$B$2:$B$9,A585)&gt;0,1,0)</f>
        <v>0</v>
      </c>
      <c r="J585" s="8" t="str">
        <f t="array" ref="J58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5" s="8" t="str">
        <f t="array" ref="K585">IF(I585=1,"Event",IF(J585="-","Normal",IF(INDEX(Event_Rumor!$G$2:$G$9,MATCH(J585,Event_Rumor!$A$2:$A$9,0))&gt;ROW(),"Pre","Post")))</f>
        <v>Normal</v>
      </c>
      <c r="L585" s="11" t="str">
        <f t="array" ref="L585">IF(J585="-","-",INDEX(Event_Rumor!$E$2:$E$9,MATCH(J585,Event_Rumor!$A$2:$A$9,0)))</f>
        <v>-</v>
      </c>
    </row>
    <row r="586" spans="1:12" ht="15" customHeight="1" x14ac:dyDescent="0.3">
      <c r="A586" s="26">
        <v>46203</v>
      </c>
      <c r="B586" s="6">
        <v>11800</v>
      </c>
      <c r="C586" s="6">
        <v>11800</v>
      </c>
      <c r="D586" s="6">
        <v>11425</v>
      </c>
      <c r="E586" s="6">
        <v>11425</v>
      </c>
      <c r="F586" s="6">
        <v>55100</v>
      </c>
      <c r="G586" s="7">
        <f t="shared" ref="G586:H586" si="583">(E586-E585)/E585</f>
        <v>-2.7659574468085105E-2</v>
      </c>
      <c r="H586" s="7">
        <f t="shared" si="583"/>
        <v>0.65963855421686746</v>
      </c>
      <c r="I586" s="8">
        <f>IF(COUNTIF(Event_Rumor!$B$2:$B$9,A586)&gt;0,1,0)</f>
        <v>0</v>
      </c>
      <c r="J586" s="8" t="str">
        <f t="array" ref="J58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6" s="8" t="str">
        <f t="array" ref="K586">IF(I586=1,"Event",IF(J586="-","Normal",IF(INDEX(Event_Rumor!$G$2:$G$9,MATCH(J586,Event_Rumor!$A$2:$A$9,0))&gt;ROW(),"Pre","Post")))</f>
        <v>Normal</v>
      </c>
      <c r="L586" s="11" t="str">
        <f t="array" ref="L586">IF(J586="-","-",INDEX(Event_Rumor!$E$2:$E$9,MATCH(J586,Event_Rumor!$A$2:$A$9,0)))</f>
        <v>-</v>
      </c>
    </row>
    <row r="587" spans="1:12" ht="15" customHeight="1" x14ac:dyDescent="0.3">
      <c r="A587" s="26">
        <v>46204</v>
      </c>
      <c r="B587" s="6">
        <v>11425</v>
      </c>
      <c r="C587" s="6">
        <v>11950</v>
      </c>
      <c r="D587" s="6">
        <v>11225</v>
      </c>
      <c r="E587" s="6">
        <v>11750</v>
      </c>
      <c r="F587" s="6">
        <v>33300</v>
      </c>
      <c r="G587" s="7">
        <f t="shared" ref="G587:H587" si="584">(E587-E586)/E586</f>
        <v>2.8446389496717725E-2</v>
      </c>
      <c r="H587" s="7">
        <f t="shared" si="584"/>
        <v>-0.39564428312159711</v>
      </c>
      <c r="I587" s="8">
        <f>IF(COUNTIF(Event_Rumor!$B$2:$B$9,A587)&gt;0,1,0)</f>
        <v>0</v>
      </c>
      <c r="J587" s="8" t="str">
        <f t="array" ref="J58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7" s="8" t="str">
        <f t="array" ref="K587">IF(I587=1,"Event",IF(J587="-","Normal",IF(INDEX(Event_Rumor!$G$2:$G$9,MATCH(J587,Event_Rumor!$A$2:$A$9,0))&gt;ROW(),"Pre","Post")))</f>
        <v>Normal</v>
      </c>
      <c r="L587" s="11" t="str">
        <f t="array" ref="L587">IF(J587="-","-",INDEX(Event_Rumor!$E$2:$E$9,MATCH(J587,Event_Rumor!$A$2:$A$9,0)))</f>
        <v>-</v>
      </c>
    </row>
    <row r="588" spans="1:12" ht="15" customHeight="1" x14ac:dyDescent="0.3">
      <c r="A588" s="26">
        <v>46205</v>
      </c>
      <c r="B588" s="6">
        <v>11700</v>
      </c>
      <c r="C588" s="6">
        <v>11725</v>
      </c>
      <c r="D588" s="6">
        <v>11450</v>
      </c>
      <c r="E588" s="6">
        <v>11650</v>
      </c>
      <c r="F588" s="6">
        <v>19900</v>
      </c>
      <c r="G588" s="7">
        <f t="shared" ref="G588:H588" si="585">(E588-E587)/E587</f>
        <v>-8.5106382978723406E-3</v>
      </c>
      <c r="H588" s="7">
        <f t="shared" si="585"/>
        <v>-0.40240240240240238</v>
      </c>
      <c r="I588" s="8">
        <f>IF(COUNTIF(Event_Rumor!$B$2:$B$9,A588)&gt;0,1,0)</f>
        <v>0</v>
      </c>
      <c r="J588" s="8" t="str">
        <f t="array" ref="J58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8" s="8" t="str">
        <f t="array" ref="K588">IF(I588=1,"Event",IF(J588="-","Normal",IF(INDEX(Event_Rumor!$G$2:$G$9,MATCH(J588,Event_Rumor!$A$2:$A$9,0))&gt;ROW(),"Pre","Post")))</f>
        <v>Normal</v>
      </c>
      <c r="L588" s="11" t="str">
        <f t="array" ref="L588">IF(J588="-","-",INDEX(Event_Rumor!$E$2:$E$9,MATCH(J588,Event_Rumor!$A$2:$A$9,0)))</f>
        <v>-</v>
      </c>
    </row>
    <row r="589" spans="1:12" ht="15" customHeight="1" x14ac:dyDescent="0.3">
      <c r="A589" s="26">
        <v>46206</v>
      </c>
      <c r="B589" s="6">
        <v>11625</v>
      </c>
      <c r="C589" s="6">
        <v>11800</v>
      </c>
      <c r="D589" s="6">
        <v>11525</v>
      </c>
      <c r="E589" s="6">
        <v>11600</v>
      </c>
      <c r="F589" s="6">
        <v>29400</v>
      </c>
      <c r="G589" s="7">
        <f t="shared" ref="G589:H589" si="586">(E589-E588)/E588</f>
        <v>-4.2918454935622317E-3</v>
      </c>
      <c r="H589" s="7">
        <f t="shared" si="586"/>
        <v>0.47738693467336685</v>
      </c>
      <c r="I589" s="8">
        <f>IF(COUNTIF(Event_Rumor!$B$2:$B$9,A589)&gt;0,1,0)</f>
        <v>0</v>
      </c>
      <c r="J589" s="8" t="str">
        <f t="array" ref="J58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89" s="8" t="str">
        <f t="array" ref="K589">IF(I589=1,"Event",IF(J589="-","Normal",IF(INDEX(Event_Rumor!$G$2:$G$9,MATCH(J589,Event_Rumor!$A$2:$A$9,0))&gt;ROW(),"Pre","Post")))</f>
        <v>Normal</v>
      </c>
      <c r="L589" s="11" t="str">
        <f t="array" ref="L589">IF(J589="-","-",INDEX(Event_Rumor!$E$2:$E$9,MATCH(J589,Event_Rumor!$A$2:$A$9,0)))</f>
        <v>-</v>
      </c>
    </row>
    <row r="590" spans="1:12" ht="15" customHeight="1" x14ac:dyDescent="0.3">
      <c r="A590" s="26">
        <v>46209</v>
      </c>
      <c r="B590" s="6">
        <v>11575</v>
      </c>
      <c r="C590" s="6">
        <v>11575</v>
      </c>
      <c r="D590" s="6">
        <v>11425</v>
      </c>
      <c r="E590" s="6">
        <v>11475</v>
      </c>
      <c r="F590" s="6">
        <v>10300</v>
      </c>
      <c r="G590" s="7">
        <f t="shared" ref="G590:H590" si="587">(E590-E589)/E589</f>
        <v>-1.0775862068965518E-2</v>
      </c>
      <c r="H590" s="7">
        <f t="shared" si="587"/>
        <v>-0.64965986394557829</v>
      </c>
      <c r="I590" s="8">
        <f>IF(COUNTIF(Event_Rumor!$B$2:$B$9,A590)&gt;0,1,0)</f>
        <v>0</v>
      </c>
      <c r="J590" s="8" t="str">
        <f t="array" ref="J59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0" s="8" t="str">
        <f t="array" ref="K590">IF(I590=1,"Event",IF(J590="-","Normal",IF(INDEX(Event_Rumor!$G$2:$G$9,MATCH(J590,Event_Rumor!$A$2:$A$9,0))&gt;ROW(),"Pre","Post")))</f>
        <v>Normal</v>
      </c>
      <c r="L590" s="11" t="str">
        <f t="array" ref="L590">IF(J590="-","-",INDEX(Event_Rumor!$E$2:$E$9,MATCH(J590,Event_Rumor!$A$2:$A$9,0)))</f>
        <v>-</v>
      </c>
    </row>
    <row r="591" spans="1:12" ht="15" customHeight="1" x14ac:dyDescent="0.3">
      <c r="A591" s="26">
        <v>46210</v>
      </c>
      <c r="B591" s="6">
        <v>11475</v>
      </c>
      <c r="C591" s="6">
        <v>11600</v>
      </c>
      <c r="D591" s="6">
        <v>11425</v>
      </c>
      <c r="E591" s="6">
        <v>11425</v>
      </c>
      <c r="F591" s="6">
        <v>47400</v>
      </c>
      <c r="G591" s="7">
        <f t="shared" ref="G591:H591" si="588">(E591-E590)/E590</f>
        <v>-4.3572984749455342E-3</v>
      </c>
      <c r="H591" s="7">
        <f t="shared" si="588"/>
        <v>3.6019417475728157</v>
      </c>
      <c r="I591" s="8">
        <f>IF(COUNTIF(Event_Rumor!$B$2:$B$9,A591)&gt;0,1,0)</f>
        <v>0</v>
      </c>
      <c r="J591" s="8" t="str">
        <f t="array" ref="J59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1" s="8" t="str">
        <f t="array" ref="K591">IF(I591=1,"Event",IF(J591="-","Normal",IF(INDEX(Event_Rumor!$G$2:$G$9,MATCH(J591,Event_Rumor!$A$2:$A$9,0))&gt;ROW(),"Pre","Post")))</f>
        <v>Normal</v>
      </c>
      <c r="L591" s="11" t="str">
        <f t="array" ref="L591">IF(J591="-","-",INDEX(Event_Rumor!$E$2:$E$9,MATCH(J591,Event_Rumor!$A$2:$A$9,0)))</f>
        <v>-</v>
      </c>
    </row>
    <row r="592" spans="1:12" ht="15" customHeight="1" x14ac:dyDescent="0.3">
      <c r="A592" s="26">
        <v>46211</v>
      </c>
      <c r="B592" s="6">
        <v>11425</v>
      </c>
      <c r="C592" s="6">
        <v>11450</v>
      </c>
      <c r="D592" s="6">
        <v>11300</v>
      </c>
      <c r="E592" s="6">
        <v>11325</v>
      </c>
      <c r="F592" s="6">
        <v>19200</v>
      </c>
      <c r="G592" s="7">
        <f t="shared" ref="G592:H592" si="589">(E592-E591)/E591</f>
        <v>-8.7527352297592995E-3</v>
      </c>
      <c r="H592" s="7">
        <f t="shared" si="589"/>
        <v>-0.59493670886075944</v>
      </c>
      <c r="I592" s="8">
        <f>IF(COUNTIF(Event_Rumor!$B$2:$B$9,A592)&gt;0,1,0)</f>
        <v>0</v>
      </c>
      <c r="J592" s="8" t="str">
        <f t="array" ref="J59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2" s="8" t="str">
        <f t="array" ref="K592">IF(I592=1,"Event",IF(J592="-","Normal",IF(INDEX(Event_Rumor!$G$2:$G$9,MATCH(J592,Event_Rumor!$A$2:$A$9,0))&gt;ROW(),"Pre","Post")))</f>
        <v>Normal</v>
      </c>
      <c r="L592" s="11" t="str">
        <f t="array" ref="L592">IF(J592="-","-",INDEX(Event_Rumor!$E$2:$E$9,MATCH(J592,Event_Rumor!$A$2:$A$9,0)))</f>
        <v>-</v>
      </c>
    </row>
    <row r="593" spans="1:12" ht="15" customHeight="1" x14ac:dyDescent="0.3">
      <c r="A593" s="26">
        <v>46212</v>
      </c>
      <c r="B593" s="6">
        <v>11425</v>
      </c>
      <c r="C593" s="6">
        <v>11425</v>
      </c>
      <c r="D593" s="6">
        <v>11175</v>
      </c>
      <c r="E593" s="6">
        <v>11350</v>
      </c>
      <c r="F593" s="6">
        <v>18200</v>
      </c>
      <c r="G593" s="7">
        <f t="shared" ref="G593:H593" si="590">(E593-E592)/E592</f>
        <v>2.2075055187637969E-3</v>
      </c>
      <c r="H593" s="7">
        <f t="shared" si="590"/>
        <v>-5.2083333333333336E-2</v>
      </c>
      <c r="I593" s="8">
        <f>IF(COUNTIF(Event_Rumor!$B$2:$B$9,A593)&gt;0,1,0)</f>
        <v>0</v>
      </c>
      <c r="J593" s="8" t="str">
        <f t="array" ref="J59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3" s="8" t="str">
        <f t="array" ref="K593">IF(I593=1,"Event",IF(J593="-","Normal",IF(INDEX(Event_Rumor!$G$2:$G$9,MATCH(J593,Event_Rumor!$A$2:$A$9,0))&gt;ROW(),"Pre","Post")))</f>
        <v>Normal</v>
      </c>
      <c r="L593" s="11" t="str">
        <f t="array" ref="L593">IF(J593="-","-",INDEX(Event_Rumor!$E$2:$E$9,MATCH(J593,Event_Rumor!$A$2:$A$9,0)))</f>
        <v>-</v>
      </c>
    </row>
    <row r="594" spans="1:12" ht="15" customHeight="1" x14ac:dyDescent="0.3">
      <c r="A594" s="26">
        <v>46213</v>
      </c>
      <c r="B594" s="6">
        <v>11475</v>
      </c>
      <c r="C594" s="6">
        <v>11475</v>
      </c>
      <c r="D594" s="6">
        <v>11125</v>
      </c>
      <c r="E594" s="6">
        <v>11200</v>
      </c>
      <c r="F594" s="6">
        <v>44700</v>
      </c>
      <c r="G594" s="7">
        <f t="shared" ref="G594:H594" si="591">(E594-E593)/E593</f>
        <v>-1.3215859030837005E-2</v>
      </c>
      <c r="H594" s="7">
        <f t="shared" si="591"/>
        <v>1.456043956043956</v>
      </c>
      <c r="I594" s="8">
        <f>IF(COUNTIF(Event_Rumor!$B$2:$B$9,A594)&gt;0,1,0)</f>
        <v>0</v>
      </c>
      <c r="J594" s="8" t="str">
        <f t="array" ref="J59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4" s="8" t="str">
        <f t="array" ref="K594">IF(I594=1,"Event",IF(J594="-","Normal",IF(INDEX(Event_Rumor!$G$2:$G$9,MATCH(J594,Event_Rumor!$A$2:$A$9,0))&gt;ROW(),"Pre","Post")))</f>
        <v>Normal</v>
      </c>
      <c r="L594" s="11" t="str">
        <f t="array" ref="L594">IF(J594="-","-",INDEX(Event_Rumor!$E$2:$E$9,MATCH(J594,Event_Rumor!$A$2:$A$9,0)))</f>
        <v>-</v>
      </c>
    </row>
    <row r="595" spans="1:12" ht="15" customHeight="1" x14ac:dyDescent="0.3">
      <c r="A595" s="26">
        <v>46216</v>
      </c>
      <c r="B595" s="6">
        <v>11375</v>
      </c>
      <c r="C595" s="6">
        <v>11575</v>
      </c>
      <c r="D595" s="6">
        <v>11125</v>
      </c>
      <c r="E595" s="6">
        <v>11350</v>
      </c>
      <c r="F595" s="6">
        <v>20100</v>
      </c>
      <c r="G595" s="7">
        <f t="shared" ref="G595:H595" si="592">(E595-E594)/E594</f>
        <v>1.3392857142857142E-2</v>
      </c>
      <c r="H595" s="7">
        <f t="shared" si="592"/>
        <v>-0.55033557046979864</v>
      </c>
      <c r="I595" s="8">
        <f>IF(COUNTIF(Event_Rumor!$B$2:$B$9,A595)&gt;0,1,0)</f>
        <v>0</v>
      </c>
      <c r="J595" s="8" t="str">
        <f t="array" ref="J59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5" s="8" t="str">
        <f t="array" ref="K595">IF(I595=1,"Event",IF(J595="-","Normal",IF(INDEX(Event_Rumor!$G$2:$G$9,MATCH(J595,Event_Rumor!$A$2:$A$9,0))&gt;ROW(),"Pre","Post")))</f>
        <v>Normal</v>
      </c>
      <c r="L595" s="11" t="str">
        <f t="array" ref="L595">IF(J595="-","-",INDEX(Event_Rumor!$E$2:$E$9,MATCH(J595,Event_Rumor!$A$2:$A$9,0)))</f>
        <v>-</v>
      </c>
    </row>
    <row r="596" spans="1:12" ht="15" customHeight="1" x14ac:dyDescent="0.3">
      <c r="A596" s="26">
        <v>46217</v>
      </c>
      <c r="B596" s="6">
        <v>11350</v>
      </c>
      <c r="C596" s="6">
        <v>11500</v>
      </c>
      <c r="D596" s="6">
        <v>11325</v>
      </c>
      <c r="E596" s="6">
        <v>11425</v>
      </c>
      <c r="F596" s="6">
        <v>10400</v>
      </c>
      <c r="G596" s="7">
        <f t="shared" ref="G596:H596" si="593">(E596-E595)/E595</f>
        <v>6.6079295154185024E-3</v>
      </c>
      <c r="H596" s="7">
        <f t="shared" si="593"/>
        <v>-0.48258706467661694</v>
      </c>
      <c r="I596" s="8">
        <f>IF(COUNTIF(Event_Rumor!$B$2:$B$9,A596)&gt;0,1,0)</f>
        <v>0</v>
      </c>
      <c r="J596" s="8" t="str">
        <f t="array" ref="J59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6" s="8" t="str">
        <f t="array" ref="K596">IF(I596=1,"Event",IF(J596="-","Normal",IF(INDEX(Event_Rumor!$G$2:$G$9,MATCH(J596,Event_Rumor!$A$2:$A$9,0))&gt;ROW(),"Pre","Post")))</f>
        <v>Normal</v>
      </c>
      <c r="L596" s="11" t="str">
        <f t="array" ref="L596">IF(J596="-","-",INDEX(Event_Rumor!$E$2:$E$9,MATCH(J596,Event_Rumor!$A$2:$A$9,0)))</f>
        <v>-</v>
      </c>
    </row>
    <row r="597" spans="1:12" ht="15" customHeight="1" x14ac:dyDescent="0.3">
      <c r="A597" s="26">
        <v>46218</v>
      </c>
      <c r="B597" s="6">
        <v>11425</v>
      </c>
      <c r="C597" s="6">
        <v>11800</v>
      </c>
      <c r="D597" s="6">
        <v>11275</v>
      </c>
      <c r="E597" s="6">
        <v>11500</v>
      </c>
      <c r="F597" s="6">
        <v>93100</v>
      </c>
      <c r="G597" s="7">
        <f t="shared" ref="G597:H597" si="594">(E597-E596)/E596</f>
        <v>6.5645514223194746E-3</v>
      </c>
      <c r="H597" s="7">
        <f t="shared" si="594"/>
        <v>7.9519230769230766</v>
      </c>
      <c r="I597" s="8">
        <f>IF(COUNTIF(Event_Rumor!$B$2:$B$9,A597)&gt;0,1,0)</f>
        <v>0</v>
      </c>
      <c r="J597" s="8" t="str">
        <f t="array" ref="J59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7" s="8" t="str">
        <f t="array" ref="K597">IF(I597=1,"Event",IF(J597="-","Normal",IF(INDEX(Event_Rumor!$G$2:$G$9,MATCH(J597,Event_Rumor!$A$2:$A$9,0))&gt;ROW(),"Pre","Post")))</f>
        <v>Normal</v>
      </c>
      <c r="L597" s="11" t="str">
        <f t="array" ref="L597">IF(J597="-","-",INDEX(Event_Rumor!$E$2:$E$9,MATCH(J597,Event_Rumor!$A$2:$A$9,0)))</f>
        <v>-</v>
      </c>
    </row>
    <row r="598" spans="1:12" ht="15" customHeight="1" x14ac:dyDescent="0.3">
      <c r="A598" s="26">
        <v>46219</v>
      </c>
      <c r="B598" s="6">
        <v>11500</v>
      </c>
      <c r="C598" s="6">
        <v>12000</v>
      </c>
      <c r="D598" s="6">
        <v>11500</v>
      </c>
      <c r="E598" s="6">
        <v>11650</v>
      </c>
      <c r="F598" s="6">
        <v>18600</v>
      </c>
      <c r="G598" s="7">
        <f t="shared" ref="G598:H598" si="595">(E598-E597)/E597</f>
        <v>1.3043478260869565E-2</v>
      </c>
      <c r="H598" s="7">
        <f t="shared" si="595"/>
        <v>-0.8002148227712137</v>
      </c>
      <c r="I598" s="8">
        <f>IF(COUNTIF(Event_Rumor!$B$2:$B$9,A598)&gt;0,1,0)</f>
        <v>0</v>
      </c>
      <c r="J598" s="8" t="str">
        <f t="array" ref="J59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8" s="8" t="str">
        <f t="array" ref="K598">IF(I598=1,"Event",IF(J598="-","Normal",IF(INDEX(Event_Rumor!$G$2:$G$9,MATCH(J598,Event_Rumor!$A$2:$A$9,0))&gt;ROW(),"Pre","Post")))</f>
        <v>Normal</v>
      </c>
      <c r="L598" s="11" t="str">
        <f t="array" ref="L598">IF(J598="-","-",INDEX(Event_Rumor!$E$2:$E$9,MATCH(J598,Event_Rumor!$A$2:$A$9,0)))</f>
        <v>-</v>
      </c>
    </row>
    <row r="599" spans="1:12" ht="15" customHeight="1" x14ac:dyDescent="0.3">
      <c r="A599" s="26">
        <v>46220</v>
      </c>
      <c r="B599" s="6">
        <v>11675</v>
      </c>
      <c r="C599" s="6">
        <v>12350</v>
      </c>
      <c r="D599" s="6">
        <v>11600</v>
      </c>
      <c r="E599" s="6">
        <v>12000</v>
      </c>
      <c r="F599" s="6">
        <v>85100</v>
      </c>
      <c r="G599" s="7">
        <f t="shared" ref="G599:H599" si="596">(E599-E598)/E598</f>
        <v>3.0042918454935622E-2</v>
      </c>
      <c r="H599" s="7">
        <f t="shared" si="596"/>
        <v>3.575268817204301</v>
      </c>
      <c r="I599" s="8">
        <f>IF(COUNTIF(Event_Rumor!$B$2:$B$9,A599)&gt;0,1,0)</f>
        <v>0</v>
      </c>
      <c r="J599" s="8" t="str">
        <f t="array" ref="J59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599" s="8" t="str">
        <f t="array" ref="K599">IF(I599=1,"Event",IF(J599="-","Normal",IF(INDEX(Event_Rumor!$G$2:$G$9,MATCH(J599,Event_Rumor!$A$2:$A$9,0))&gt;ROW(),"Pre","Post")))</f>
        <v>Normal</v>
      </c>
      <c r="L599" s="11" t="str">
        <f t="array" ref="L599">IF(J599="-","-",INDEX(Event_Rumor!$E$2:$E$9,MATCH(J599,Event_Rumor!$A$2:$A$9,0)))</f>
        <v>-</v>
      </c>
    </row>
    <row r="600" spans="1:12" ht="15" customHeight="1" x14ac:dyDescent="0.3">
      <c r="A600" s="26">
        <v>46223</v>
      </c>
      <c r="B600" s="6">
        <v>12000</v>
      </c>
      <c r="C600" s="6">
        <v>12225</v>
      </c>
      <c r="D600" s="6">
        <v>11750</v>
      </c>
      <c r="E600" s="6">
        <v>12025</v>
      </c>
      <c r="F600" s="6">
        <v>115500</v>
      </c>
      <c r="G600" s="7">
        <f t="shared" ref="G600:H600" si="597">(E600-E599)/E599</f>
        <v>2.0833333333333333E-3</v>
      </c>
      <c r="H600" s="7">
        <f t="shared" si="597"/>
        <v>0.35722679200940072</v>
      </c>
      <c r="I600" s="8">
        <f>IF(COUNTIF(Event_Rumor!$B$2:$B$9,A600)&gt;0,1,0)</f>
        <v>0</v>
      </c>
      <c r="J600" s="8" t="str">
        <f t="array" ref="J60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0" s="8" t="str">
        <f t="array" ref="K600">IF(I600=1,"Event",IF(J600="-","Normal",IF(INDEX(Event_Rumor!$G$2:$G$9,MATCH(J600,Event_Rumor!$A$2:$A$9,0))&gt;ROW(),"Pre","Post")))</f>
        <v>Normal</v>
      </c>
      <c r="L600" s="11" t="str">
        <f t="array" ref="L600">IF(J600="-","-",INDEX(Event_Rumor!$E$2:$E$9,MATCH(J600,Event_Rumor!$A$2:$A$9,0)))</f>
        <v>-</v>
      </c>
    </row>
    <row r="601" spans="1:12" ht="15" customHeight="1" x14ac:dyDescent="0.3">
      <c r="A601" s="26">
        <v>46224</v>
      </c>
      <c r="B601" s="6">
        <v>12150</v>
      </c>
      <c r="C601" s="6">
        <v>12450</v>
      </c>
      <c r="D601" s="6">
        <v>12025</v>
      </c>
      <c r="E601" s="6">
        <v>12025</v>
      </c>
      <c r="F601" s="6">
        <v>37600</v>
      </c>
      <c r="G601" s="7">
        <f t="shared" ref="G601:H601" si="598">(E601-E600)/E600</f>
        <v>0</v>
      </c>
      <c r="H601" s="7">
        <f t="shared" si="598"/>
        <v>-0.67445887445887442</v>
      </c>
      <c r="I601" s="8">
        <f>IF(COUNTIF(Event_Rumor!$B$2:$B$9,A601)&gt;0,1,0)</f>
        <v>0</v>
      </c>
      <c r="J601" s="8" t="str">
        <f t="array" ref="J60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1" s="8" t="str">
        <f t="array" ref="K601">IF(I601=1,"Event",IF(J601="-","Normal",IF(INDEX(Event_Rumor!$G$2:$G$9,MATCH(J601,Event_Rumor!$A$2:$A$9,0))&gt;ROW(),"Pre","Post")))</f>
        <v>Normal</v>
      </c>
      <c r="L601" s="11" t="str">
        <f t="array" ref="L601">IF(J601="-","-",INDEX(Event_Rumor!$E$2:$E$9,MATCH(J601,Event_Rumor!$A$2:$A$9,0)))</f>
        <v>-</v>
      </c>
    </row>
    <row r="602" spans="1:12" ht="15" customHeight="1" x14ac:dyDescent="0.3">
      <c r="A602" s="26">
        <v>46225</v>
      </c>
      <c r="B602" s="6">
        <v>12225</v>
      </c>
      <c r="C602" s="6">
        <v>12250</v>
      </c>
      <c r="D602" s="6">
        <v>12000</v>
      </c>
      <c r="E602" s="6">
        <v>12000</v>
      </c>
      <c r="F602" s="6">
        <v>35500</v>
      </c>
      <c r="G602" s="7">
        <f t="shared" ref="G602:H602" si="599">(E602-E601)/E601</f>
        <v>-2.0790020790020791E-3</v>
      </c>
      <c r="H602" s="7">
        <f t="shared" si="599"/>
        <v>-5.5851063829787231E-2</v>
      </c>
      <c r="I602" s="8">
        <f>IF(COUNTIF(Event_Rumor!$B$2:$B$9,A602)&gt;0,1,0)</f>
        <v>0</v>
      </c>
      <c r="J602" s="8" t="str">
        <f t="array" ref="J60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2" s="8" t="str">
        <f t="array" ref="K602">IF(I602=1,"Event",IF(J602="-","Normal",IF(INDEX(Event_Rumor!$G$2:$G$9,MATCH(J602,Event_Rumor!$A$2:$A$9,0))&gt;ROW(),"Pre","Post")))</f>
        <v>Normal</v>
      </c>
      <c r="L602" s="11" t="str">
        <f t="array" ref="L602">IF(J602="-","-",INDEX(Event_Rumor!$E$2:$E$9,MATCH(J602,Event_Rumor!$A$2:$A$9,0)))</f>
        <v>-</v>
      </c>
    </row>
    <row r="603" spans="1:12" ht="15" customHeight="1" x14ac:dyDescent="0.3">
      <c r="A603" s="26">
        <v>46226</v>
      </c>
      <c r="B603" s="6">
        <v>12000</v>
      </c>
      <c r="C603" s="6">
        <v>12525</v>
      </c>
      <c r="D603" s="6">
        <v>12000</v>
      </c>
      <c r="E603" s="6">
        <v>12175</v>
      </c>
      <c r="F603" s="6">
        <v>91400</v>
      </c>
      <c r="G603" s="7">
        <f t="shared" ref="G603:H603" si="600">(E603-E602)/E602</f>
        <v>1.4583333333333334E-2</v>
      </c>
      <c r="H603" s="7">
        <f t="shared" si="600"/>
        <v>1.5746478873239436</v>
      </c>
      <c r="I603" s="8">
        <f>IF(COUNTIF(Event_Rumor!$B$2:$B$9,A603)&gt;0,1,0)</f>
        <v>0</v>
      </c>
      <c r="J603" s="8" t="str">
        <f t="array" ref="J60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3" s="8" t="str">
        <f t="array" ref="K603">IF(I603=1,"Event",IF(J603="-","Normal",IF(INDEX(Event_Rumor!$G$2:$G$9,MATCH(J603,Event_Rumor!$A$2:$A$9,0))&gt;ROW(),"Pre","Post")))</f>
        <v>Normal</v>
      </c>
      <c r="L603" s="11" t="str">
        <f t="array" ref="L603">IF(J603="-","-",INDEX(Event_Rumor!$E$2:$E$9,MATCH(J603,Event_Rumor!$A$2:$A$9,0)))</f>
        <v>-</v>
      </c>
    </row>
    <row r="604" spans="1:12" ht="15" customHeight="1" x14ac:dyDescent="0.3">
      <c r="A604" s="26">
        <v>46227</v>
      </c>
      <c r="B604" s="6">
        <v>12175</v>
      </c>
      <c r="C604" s="6">
        <v>12350</v>
      </c>
      <c r="D604" s="6">
        <v>11825</v>
      </c>
      <c r="E604" s="6">
        <v>11975</v>
      </c>
      <c r="F604" s="6">
        <v>28300</v>
      </c>
      <c r="G604" s="7">
        <f t="shared" ref="G604:H604" si="601">(E604-E603)/E603</f>
        <v>-1.6427104722792608E-2</v>
      </c>
      <c r="H604" s="7">
        <f t="shared" si="601"/>
        <v>-0.69037199124726478</v>
      </c>
      <c r="I604" s="8">
        <f>IF(COUNTIF(Event_Rumor!$B$2:$B$9,A604)&gt;0,1,0)</f>
        <v>0</v>
      </c>
      <c r="J604" s="8" t="str">
        <f t="array" ref="J60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4" s="8" t="str">
        <f t="array" ref="K604">IF(I604=1,"Event",IF(J604="-","Normal",IF(INDEX(Event_Rumor!$G$2:$G$9,MATCH(J604,Event_Rumor!$A$2:$A$9,0))&gt;ROW(),"Pre","Post")))</f>
        <v>Normal</v>
      </c>
      <c r="L604" s="11" t="str">
        <f t="array" ref="L604">IF(J604="-","-",INDEX(Event_Rumor!$E$2:$E$9,MATCH(J604,Event_Rumor!$A$2:$A$9,0)))</f>
        <v>-</v>
      </c>
    </row>
    <row r="605" spans="1:12" ht="15" customHeight="1" x14ac:dyDescent="0.3">
      <c r="A605" s="26">
        <v>46230</v>
      </c>
      <c r="B605" s="6">
        <v>12000</v>
      </c>
      <c r="C605" s="6">
        <v>12400</v>
      </c>
      <c r="D605" s="6">
        <v>12000</v>
      </c>
      <c r="E605" s="6">
        <v>12075</v>
      </c>
      <c r="F605" s="6">
        <v>25000</v>
      </c>
      <c r="G605" s="7">
        <f t="shared" ref="G605:H605" si="602">(E605-E604)/E604</f>
        <v>8.350730688935281E-3</v>
      </c>
      <c r="H605" s="7">
        <f t="shared" si="602"/>
        <v>-0.1166077738515901</v>
      </c>
      <c r="I605" s="8">
        <f>IF(COUNTIF(Event_Rumor!$B$2:$B$9,A605)&gt;0,1,0)</f>
        <v>0</v>
      </c>
      <c r="J605" s="8" t="str">
        <f t="array" ref="J60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5" s="8" t="str">
        <f t="array" ref="K605">IF(I605=1,"Event",IF(J605="-","Normal",IF(INDEX(Event_Rumor!$G$2:$G$9,MATCH(J605,Event_Rumor!$A$2:$A$9,0))&gt;ROW(),"Pre","Post")))</f>
        <v>Normal</v>
      </c>
      <c r="L605" s="11" t="str">
        <f t="array" ref="L605">IF(J605="-","-",INDEX(Event_Rumor!$E$2:$E$9,MATCH(J605,Event_Rumor!$A$2:$A$9,0)))</f>
        <v>-</v>
      </c>
    </row>
    <row r="606" spans="1:12" ht="15" customHeight="1" x14ac:dyDescent="0.3">
      <c r="A606" s="26">
        <v>46231</v>
      </c>
      <c r="B606" s="6">
        <v>12075</v>
      </c>
      <c r="C606" s="6">
        <v>12175</v>
      </c>
      <c r="D606" s="6">
        <v>12075</v>
      </c>
      <c r="E606" s="6">
        <v>12150</v>
      </c>
      <c r="F606" s="6">
        <v>10800</v>
      </c>
      <c r="G606" s="7">
        <f t="shared" ref="G606:H606" si="603">(E606-E605)/E605</f>
        <v>6.2111801242236021E-3</v>
      </c>
      <c r="H606" s="7">
        <f t="shared" si="603"/>
        <v>-0.56799999999999995</v>
      </c>
      <c r="I606" s="8">
        <f>IF(COUNTIF(Event_Rumor!$B$2:$B$9,A606)&gt;0,1,0)</f>
        <v>0</v>
      </c>
      <c r="J606" s="8" t="str">
        <f t="array" ref="J60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6" s="8" t="str">
        <f t="array" ref="K606">IF(I606=1,"Event",IF(J606="-","Normal",IF(INDEX(Event_Rumor!$G$2:$G$9,MATCH(J606,Event_Rumor!$A$2:$A$9,0))&gt;ROW(),"Pre","Post")))</f>
        <v>Normal</v>
      </c>
      <c r="L606" s="11" t="str">
        <f t="array" ref="L606">IF(J606="-","-",INDEX(Event_Rumor!$E$2:$E$9,MATCH(J606,Event_Rumor!$A$2:$A$9,0)))</f>
        <v>-</v>
      </c>
    </row>
    <row r="607" spans="1:12" ht="15" customHeight="1" x14ac:dyDescent="0.3">
      <c r="A607" s="26">
        <v>46232</v>
      </c>
      <c r="B607" s="6">
        <v>12175</v>
      </c>
      <c r="C607" s="6">
        <v>12200</v>
      </c>
      <c r="D607" s="6">
        <v>12000</v>
      </c>
      <c r="E607" s="6">
        <v>12150</v>
      </c>
      <c r="F607" s="6">
        <v>12400</v>
      </c>
      <c r="G607" s="7">
        <f t="shared" ref="G607:H607" si="604">(E607-E606)/E606</f>
        <v>0</v>
      </c>
      <c r="H607" s="7">
        <f t="shared" si="604"/>
        <v>0.14814814814814814</v>
      </c>
      <c r="I607" s="8">
        <f>IF(COUNTIF(Event_Rumor!$B$2:$B$9,A607)&gt;0,1,0)</f>
        <v>0</v>
      </c>
      <c r="J607" s="8" t="str">
        <f t="array" ref="J60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7" s="8" t="str">
        <f t="array" ref="K607">IF(I607=1,"Event",IF(J607="-","Normal",IF(INDEX(Event_Rumor!$G$2:$G$9,MATCH(J607,Event_Rumor!$A$2:$A$9,0))&gt;ROW(),"Pre","Post")))</f>
        <v>Normal</v>
      </c>
      <c r="L607" s="11" t="str">
        <f t="array" ref="L607">IF(J607="-","-",INDEX(Event_Rumor!$E$2:$E$9,MATCH(J607,Event_Rumor!$A$2:$A$9,0)))</f>
        <v>-</v>
      </c>
    </row>
    <row r="608" spans="1:12" ht="15" customHeight="1" x14ac:dyDescent="0.3">
      <c r="A608" s="26">
        <v>46233</v>
      </c>
      <c r="B608" s="6">
        <v>12150</v>
      </c>
      <c r="C608" s="6">
        <v>12150</v>
      </c>
      <c r="D608" s="6">
        <v>12000</v>
      </c>
      <c r="E608" s="6">
        <v>12075</v>
      </c>
      <c r="F608" s="6">
        <v>8600</v>
      </c>
      <c r="G608" s="7">
        <f t="shared" ref="G608:H608" si="605">(E608-E607)/E607</f>
        <v>-6.1728395061728392E-3</v>
      </c>
      <c r="H608" s="7">
        <f t="shared" si="605"/>
        <v>-0.30645161290322581</v>
      </c>
      <c r="I608" s="8">
        <f>IF(COUNTIF(Event_Rumor!$B$2:$B$9,A608)&gt;0,1,0)</f>
        <v>0</v>
      </c>
      <c r="J608" s="8" t="str">
        <f t="array" ref="J60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8" s="8" t="str">
        <f t="array" ref="K608">IF(I608=1,"Event",IF(J608="-","Normal",IF(INDEX(Event_Rumor!$G$2:$G$9,MATCH(J608,Event_Rumor!$A$2:$A$9,0))&gt;ROW(),"Pre","Post")))</f>
        <v>Normal</v>
      </c>
      <c r="L608" s="11" t="str">
        <f t="array" ref="L608">IF(J608="-","-",INDEX(Event_Rumor!$E$2:$E$9,MATCH(J608,Event_Rumor!$A$2:$A$9,0)))</f>
        <v>-</v>
      </c>
    </row>
    <row r="609" spans="1:12" ht="15" customHeight="1" x14ac:dyDescent="0.3">
      <c r="A609" s="26">
        <v>46234</v>
      </c>
      <c r="B609" s="6">
        <v>12075</v>
      </c>
      <c r="C609" s="6">
        <v>12200</v>
      </c>
      <c r="D609" s="6">
        <v>12025</v>
      </c>
      <c r="E609" s="6">
        <v>12025</v>
      </c>
      <c r="F609" s="6">
        <v>8900</v>
      </c>
      <c r="G609" s="7">
        <f t="shared" ref="G609:H609" si="606">(E609-E608)/E608</f>
        <v>-4.140786749482402E-3</v>
      </c>
      <c r="H609" s="7">
        <f t="shared" si="606"/>
        <v>3.4883720930232558E-2</v>
      </c>
      <c r="I609" s="8">
        <f>IF(COUNTIF(Event_Rumor!$B$2:$B$9,A609)&gt;0,1,0)</f>
        <v>0</v>
      </c>
      <c r="J609" s="8" t="str">
        <f t="array" ref="J60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09" s="8" t="str">
        <f t="array" ref="K609">IF(I609=1,"Event",IF(J609="-","Normal",IF(INDEX(Event_Rumor!$G$2:$G$9,MATCH(J609,Event_Rumor!$A$2:$A$9,0))&gt;ROW(),"Pre","Post")))</f>
        <v>Normal</v>
      </c>
      <c r="L609" s="11" t="str">
        <f t="array" ref="L609">IF(J609="-","-",INDEX(Event_Rumor!$E$2:$E$9,MATCH(J609,Event_Rumor!$A$2:$A$9,0)))</f>
        <v>-</v>
      </c>
    </row>
    <row r="610" spans="1:12" ht="15" customHeight="1" x14ac:dyDescent="0.3">
      <c r="A610" s="26">
        <v>46237</v>
      </c>
      <c r="B610" s="6">
        <v>12025</v>
      </c>
      <c r="C610" s="6">
        <v>12175</v>
      </c>
      <c r="D610" s="6">
        <v>12025</v>
      </c>
      <c r="E610" s="6">
        <v>12050</v>
      </c>
      <c r="F610" s="6">
        <v>7600</v>
      </c>
      <c r="G610" s="7">
        <f t="shared" ref="G610:H610" si="607">(E610-E609)/E609</f>
        <v>2.0790020790020791E-3</v>
      </c>
      <c r="H610" s="7">
        <f t="shared" si="607"/>
        <v>-0.14606741573033707</v>
      </c>
      <c r="I610" s="8">
        <f>IF(COUNTIF(Event_Rumor!$B$2:$B$9,A610)&gt;0,1,0)</f>
        <v>0</v>
      </c>
      <c r="J610" s="8" t="str">
        <f t="array" ref="J61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10" s="8" t="str">
        <f t="array" ref="K610">IF(I610=1,"Event",IF(J610="-","Normal",IF(INDEX(Event_Rumor!$G$2:$G$9,MATCH(J610,Event_Rumor!$A$2:$A$9,0))&gt;ROW(),"Pre","Post")))</f>
        <v>Normal</v>
      </c>
      <c r="L610" s="11" t="str">
        <f t="array" ref="L610">IF(J610="-","-",INDEX(Event_Rumor!$E$2:$E$9,MATCH(J610,Event_Rumor!$A$2:$A$9,0)))</f>
        <v>-</v>
      </c>
    </row>
    <row r="611" spans="1:12" ht="15" customHeight="1" x14ac:dyDescent="0.3">
      <c r="A611" s="26">
        <v>46238</v>
      </c>
      <c r="B611" s="6">
        <v>12025</v>
      </c>
      <c r="C611" s="6">
        <v>12100</v>
      </c>
      <c r="D611" s="6">
        <v>12025</v>
      </c>
      <c r="E611" s="6">
        <v>12075</v>
      </c>
      <c r="F611" s="6">
        <v>6200</v>
      </c>
      <c r="G611" s="7">
        <f t="shared" ref="G611:H611" si="608">(E611-E610)/E610</f>
        <v>2.0746887966804979E-3</v>
      </c>
      <c r="H611" s="7">
        <f t="shared" si="608"/>
        <v>-0.18421052631578946</v>
      </c>
      <c r="I611" s="8">
        <f>IF(COUNTIF(Event_Rumor!$B$2:$B$9,A611)&gt;0,1,0)</f>
        <v>0</v>
      </c>
      <c r="J611" s="8" t="str">
        <f t="array" ref="J61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11" s="8" t="str">
        <f t="array" ref="K611">IF(I611=1,"Event",IF(J611="-","Normal",IF(INDEX(Event_Rumor!$G$2:$G$9,MATCH(J611,Event_Rumor!$A$2:$A$9,0))&gt;ROW(),"Pre","Post")))</f>
        <v>Normal</v>
      </c>
      <c r="L611" s="11" t="str">
        <f t="array" ref="L611">IF(J611="-","-",INDEX(Event_Rumor!$E$2:$E$9,MATCH(J611,Event_Rumor!$A$2:$A$9,0)))</f>
        <v>-</v>
      </c>
    </row>
    <row r="612" spans="1:12" ht="15" customHeight="1" x14ac:dyDescent="0.3">
      <c r="A612" s="26">
        <v>46239</v>
      </c>
      <c r="B612" s="6">
        <v>12075</v>
      </c>
      <c r="C612" s="6">
        <v>12250</v>
      </c>
      <c r="D612" s="6">
        <v>12025</v>
      </c>
      <c r="E612" s="6">
        <v>12050</v>
      </c>
      <c r="F612" s="6">
        <v>8100</v>
      </c>
      <c r="G612" s="7">
        <f t="shared" ref="G612:H612" si="609">(E612-E611)/E611</f>
        <v>-2.070393374741201E-3</v>
      </c>
      <c r="H612" s="7">
        <f t="shared" si="609"/>
        <v>0.30645161290322581</v>
      </c>
      <c r="I612" s="8">
        <f>IF(COUNTIF(Event_Rumor!$B$2:$B$9,A612)&gt;0,1,0)</f>
        <v>0</v>
      </c>
      <c r="J612" s="8" t="str">
        <f t="array" ref="J61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12" s="8" t="str">
        <f t="array" ref="K612">IF(I612=1,"Event",IF(J612="-","Normal",IF(INDEX(Event_Rumor!$G$2:$G$9,MATCH(J612,Event_Rumor!$A$2:$A$9,0))&gt;ROW(),"Pre","Post")))</f>
        <v>Normal</v>
      </c>
      <c r="L612" s="11" t="str">
        <f t="array" ref="L612">IF(J612="-","-",INDEX(Event_Rumor!$E$2:$E$9,MATCH(J612,Event_Rumor!$A$2:$A$9,0)))</f>
        <v>-</v>
      </c>
    </row>
    <row r="613" spans="1:12" ht="15" customHeight="1" x14ac:dyDescent="0.3">
      <c r="A613" s="26">
        <v>46240</v>
      </c>
      <c r="B613" s="6">
        <v>12025</v>
      </c>
      <c r="C613" s="6">
        <v>12125</v>
      </c>
      <c r="D613" s="6">
        <v>12000</v>
      </c>
      <c r="E613" s="6">
        <v>12125</v>
      </c>
      <c r="F613" s="6">
        <v>41200</v>
      </c>
      <c r="G613" s="7">
        <f t="shared" ref="G613:H613" si="610">(E613-E612)/E612</f>
        <v>6.2240663900414933E-3</v>
      </c>
      <c r="H613" s="7">
        <f t="shared" si="610"/>
        <v>4.0864197530864201</v>
      </c>
      <c r="I613" s="8">
        <f>IF(COUNTIF(Event_Rumor!$B$2:$B$9,A613)&gt;0,1,0)</f>
        <v>0</v>
      </c>
      <c r="J613" s="8" t="str">
        <f t="array" ref="J61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13" s="8" t="str">
        <f t="array" ref="K613">IF(I613=1,"Event",IF(J613="-","Normal",IF(INDEX(Event_Rumor!$G$2:$G$9,MATCH(J613,Event_Rumor!$A$2:$A$9,0))&gt;ROW(),"Pre","Post")))</f>
        <v>Normal</v>
      </c>
      <c r="L613" s="11" t="str">
        <f t="array" ref="L613">IF(J613="-","-",INDEX(Event_Rumor!$E$2:$E$9,MATCH(J613,Event_Rumor!$A$2:$A$9,0)))</f>
        <v>-</v>
      </c>
    </row>
    <row r="614" spans="1:12" ht="15" customHeight="1" x14ac:dyDescent="0.3">
      <c r="A614" s="26">
        <v>46241</v>
      </c>
      <c r="B614" s="6">
        <v>12125</v>
      </c>
      <c r="C614" s="6">
        <v>12125</v>
      </c>
      <c r="D614" s="6">
        <v>12050</v>
      </c>
      <c r="E614" s="6">
        <v>12100</v>
      </c>
      <c r="F614" s="6">
        <v>31500</v>
      </c>
      <c r="G614" s="7">
        <f t="shared" ref="G614:H614" si="611">(E614-E613)/E613</f>
        <v>-2.0618556701030928E-3</v>
      </c>
      <c r="H614" s="7">
        <f t="shared" si="611"/>
        <v>-0.2354368932038835</v>
      </c>
      <c r="I614" s="8">
        <f>IF(COUNTIF(Event_Rumor!$B$2:$B$9,A614)&gt;0,1,0)</f>
        <v>0</v>
      </c>
      <c r="J614" s="8" t="str">
        <f t="array" ref="J61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14" s="8" t="str">
        <f t="array" ref="K614">IF(I614=1,"Event",IF(J614="-","Normal",IF(INDEX(Event_Rumor!$G$2:$G$9,MATCH(J614,Event_Rumor!$A$2:$A$9,0))&gt;ROW(),"Pre","Post")))</f>
        <v>Normal</v>
      </c>
      <c r="L614" s="11" t="str">
        <f t="array" ref="L614">IF(J614="-","-",INDEX(Event_Rumor!$E$2:$E$9,MATCH(J614,Event_Rumor!$A$2:$A$9,0)))</f>
        <v>-</v>
      </c>
    </row>
    <row r="615" spans="1:12" ht="15" customHeight="1" x14ac:dyDescent="0.3">
      <c r="A615" s="26">
        <v>46244</v>
      </c>
      <c r="B615" s="6">
        <v>12100</v>
      </c>
      <c r="C615" s="6">
        <v>12200</v>
      </c>
      <c r="D615" s="6">
        <v>12000</v>
      </c>
      <c r="E615" s="6">
        <v>12025</v>
      </c>
      <c r="F615" s="6">
        <v>8100</v>
      </c>
      <c r="G615" s="7">
        <f t="shared" ref="G615:H615" si="612">(E615-E614)/E614</f>
        <v>-6.1983471074380167E-3</v>
      </c>
      <c r="H615" s="7">
        <f t="shared" si="612"/>
        <v>-0.74285714285714288</v>
      </c>
      <c r="I615" s="8">
        <f>IF(COUNTIF(Event_Rumor!$B$2:$B$9,A615)&gt;0,1,0)</f>
        <v>0</v>
      </c>
      <c r="J615" s="8" t="str">
        <f t="array" ref="J61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E05</v>
      </c>
      <c r="K615" s="8" t="str">
        <f t="array" ref="K615">IF(I615=1,"Event",IF(J615="-","Normal",IF(INDEX(Event_Rumor!$G$2:$G$9,MATCH(J615,Event_Rumor!$A$2:$A$9,0))&gt;ROW(),"Pre","Post")))</f>
        <v>Pre</v>
      </c>
      <c r="L615" s="11">
        <f t="array" ref="L615">IF(J615="-","-",INDEX(Event_Rumor!$E$2:$E$9,MATCH(J615,Event_Rumor!$A$2:$A$9,0)))</f>
        <v>1</v>
      </c>
    </row>
    <row r="616" spans="1:12" ht="15" customHeight="1" x14ac:dyDescent="0.3">
      <c r="A616" s="26">
        <v>46245</v>
      </c>
      <c r="B616" s="6">
        <v>12050</v>
      </c>
      <c r="C616" s="6">
        <v>12075</v>
      </c>
      <c r="D616" s="6">
        <v>12000</v>
      </c>
      <c r="E616" s="6">
        <v>12025</v>
      </c>
      <c r="F616" s="6">
        <v>4800</v>
      </c>
      <c r="G616" s="7">
        <f t="shared" ref="G616:H616" si="613">(E616-E615)/E615</f>
        <v>0</v>
      </c>
      <c r="H616" s="7">
        <f t="shared" si="613"/>
        <v>-0.40740740740740738</v>
      </c>
      <c r="I616" s="8">
        <f>IF(COUNTIF(Event_Rumor!$B$2:$B$9,A616)&gt;0,1,0)</f>
        <v>0</v>
      </c>
      <c r="J616" s="8" t="str">
        <f t="array" ref="J61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E05</v>
      </c>
      <c r="K616" s="8" t="str">
        <f t="array" ref="K616">IF(I616=1,"Event",IF(J616="-","Normal",IF(INDEX(Event_Rumor!$G$2:$G$9,MATCH(J616,Event_Rumor!$A$2:$A$9,0))&gt;ROW(),"Pre","Post")))</f>
        <v>Pre</v>
      </c>
      <c r="L616" s="11">
        <f t="array" ref="L616">IF(J616="-","-",INDEX(Event_Rumor!$E$2:$E$9,MATCH(J616,Event_Rumor!$A$2:$A$9,0)))</f>
        <v>1</v>
      </c>
    </row>
    <row r="617" spans="1:12" ht="15" customHeight="1" x14ac:dyDescent="0.3">
      <c r="A617" s="26">
        <v>46246</v>
      </c>
      <c r="B617" s="6">
        <v>12025</v>
      </c>
      <c r="C617" s="6">
        <v>12125</v>
      </c>
      <c r="D617" s="6">
        <v>12000</v>
      </c>
      <c r="E617" s="6">
        <v>12025</v>
      </c>
      <c r="F617" s="6">
        <v>3900</v>
      </c>
      <c r="G617" s="7">
        <f t="shared" ref="G617:H617" si="614">(E617-E616)/E616</f>
        <v>0</v>
      </c>
      <c r="H617" s="7">
        <f t="shared" si="614"/>
        <v>-0.1875</v>
      </c>
      <c r="I617" s="8">
        <f>IF(COUNTIF(Event_Rumor!$B$2:$B$9,A617)&gt;0,1,0)</f>
        <v>0</v>
      </c>
      <c r="J617" s="8" t="str">
        <f t="array" ref="J61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E05</v>
      </c>
      <c r="K617" s="8" t="str">
        <f t="array" ref="K617">IF(I617=1,"Event",IF(J617="-","Normal",IF(INDEX(Event_Rumor!$G$2:$G$9,MATCH(J617,Event_Rumor!$A$2:$A$9,0))&gt;ROW(),"Pre","Post")))</f>
        <v>Pre</v>
      </c>
      <c r="L617" s="11">
        <f t="array" ref="L617">IF(J617="-","-",INDEX(Event_Rumor!$E$2:$E$9,MATCH(J617,Event_Rumor!$A$2:$A$9,0)))</f>
        <v>1</v>
      </c>
    </row>
    <row r="618" spans="1:12" ht="15" customHeight="1" x14ac:dyDescent="0.3">
      <c r="A618" s="26">
        <v>46247</v>
      </c>
      <c r="B618" s="6">
        <v>12025</v>
      </c>
      <c r="C618" s="6">
        <v>12050</v>
      </c>
      <c r="D618" s="6">
        <v>12000</v>
      </c>
      <c r="E618" s="6">
        <v>12000</v>
      </c>
      <c r="F618" s="6">
        <v>10100</v>
      </c>
      <c r="G618" s="7">
        <f t="shared" ref="G618:H618" si="615">(E618-E617)/E617</f>
        <v>-2.0790020790020791E-3</v>
      </c>
      <c r="H618" s="7">
        <f t="shared" si="615"/>
        <v>1.5897435897435896</v>
      </c>
      <c r="I618" s="8">
        <f>IF(COUNTIF(Event_Rumor!$B$2:$B$9,A618)&gt;0,1,0)</f>
        <v>0</v>
      </c>
      <c r="J618" s="8" t="str">
        <f t="array" ref="J61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E05</v>
      </c>
      <c r="K618" s="8" t="str">
        <f t="array" ref="K618">IF(I618=1,"Event",IF(J618="-","Normal",IF(INDEX(Event_Rumor!$G$2:$G$9,MATCH(J618,Event_Rumor!$A$2:$A$9,0))&gt;ROW(),"Pre","Post")))</f>
        <v>Pre</v>
      </c>
      <c r="L618" s="11">
        <f t="array" ref="L618">IF(J618="-","-",INDEX(Event_Rumor!$E$2:$E$9,MATCH(J618,Event_Rumor!$A$2:$A$9,0)))</f>
        <v>1</v>
      </c>
    </row>
    <row r="619" spans="1:12" ht="15" customHeight="1" x14ac:dyDescent="0.3">
      <c r="A619" s="26">
        <v>46248</v>
      </c>
      <c r="B619" s="6">
        <v>12000</v>
      </c>
      <c r="C619" s="6">
        <v>14400</v>
      </c>
      <c r="D619" s="6">
        <v>11100</v>
      </c>
      <c r="E619" s="6">
        <v>14400</v>
      </c>
      <c r="F619" s="6">
        <v>1271200</v>
      </c>
      <c r="G619" s="7">
        <f t="shared" ref="G619:H619" si="616">(E619-E618)/E618</f>
        <v>0.2</v>
      </c>
      <c r="H619" s="7">
        <f t="shared" si="616"/>
        <v>124.86138613861387</v>
      </c>
      <c r="I619" s="8">
        <f>IF(COUNTIF(Event_Rumor!$B$2:$B$9,A619)&gt;0,1,0)</f>
        <v>0</v>
      </c>
      <c r="J619" s="8" t="str">
        <f t="array" ref="J61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E05</v>
      </c>
      <c r="K619" s="8" t="str">
        <f t="array" ref="K619">IF(I619=1,"Event",IF(J619="-","Normal",IF(INDEX(Event_Rumor!$G$2:$G$9,MATCH(J619,Event_Rumor!$A$2:$A$9,0))&gt;ROW(),"Pre","Post")))</f>
        <v>Pre</v>
      </c>
      <c r="L619" s="11">
        <f t="array" ref="L619">IF(J619="-","-",INDEX(Event_Rumor!$E$2:$E$9,MATCH(J619,Event_Rumor!$A$2:$A$9,0)))</f>
        <v>1</v>
      </c>
    </row>
    <row r="620" spans="1:12" ht="15" customHeight="1" x14ac:dyDescent="0.3">
      <c r="A620" s="26">
        <v>46252</v>
      </c>
      <c r="B620" s="6">
        <v>15500</v>
      </c>
      <c r="C620" s="6">
        <v>17275</v>
      </c>
      <c r="D620" s="6">
        <v>15500</v>
      </c>
      <c r="E620" s="6">
        <v>17275</v>
      </c>
      <c r="F620" s="6">
        <v>7224500</v>
      </c>
      <c r="G620" s="7">
        <f t="shared" ref="G620:H620" si="617">(E620-E619)/E619</f>
        <v>0.19965277777777779</v>
      </c>
      <c r="H620" s="7">
        <f t="shared" si="617"/>
        <v>4.6832127123977347</v>
      </c>
      <c r="I620" s="8">
        <f>IF(COUNTIF(Event_Rumor!$B$2:$B$9,A620)&gt;0,1,0)</f>
        <v>1</v>
      </c>
      <c r="J620" s="8" t="str">
        <f t="array" ref="J62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E05</v>
      </c>
      <c r="K620" s="8" t="str">
        <f t="array" ref="K620">IF(I620=1,"Event",IF(J620="-","Normal",IF(INDEX(Event_Rumor!$G$2:$G$9,MATCH(J620,Event_Rumor!$A$2:$A$9,0))&gt;ROW(),"Pre","Post")))</f>
        <v>Event</v>
      </c>
      <c r="L620" s="11">
        <f t="array" ref="L620">IF(J620="-","-",INDEX(Event_Rumor!$E$2:$E$9,MATCH(J620,Event_Rumor!$A$2:$A$9,0)))</f>
        <v>1</v>
      </c>
    </row>
    <row r="621" spans="1:12" ht="15" customHeight="1" x14ac:dyDescent="0.3">
      <c r="A621" s="26">
        <v>46253</v>
      </c>
      <c r="B621" s="6">
        <v>14700</v>
      </c>
      <c r="C621" s="6">
        <v>18650</v>
      </c>
      <c r="D621" s="6">
        <v>14700</v>
      </c>
      <c r="E621" s="6">
        <v>15650</v>
      </c>
      <c r="F621" s="6">
        <v>4283300</v>
      </c>
      <c r="G621" s="7">
        <f t="shared" ref="G621:H621" si="618">(E621-E620)/E620</f>
        <v>-9.4066570188133136E-2</v>
      </c>
      <c r="H621" s="7">
        <f t="shared" si="618"/>
        <v>-0.40711467921655475</v>
      </c>
      <c r="I621" s="8">
        <f>IF(COUNTIF(Event_Rumor!$B$2:$B$9,A621)&gt;0,1,0)</f>
        <v>1</v>
      </c>
      <c r="J621" s="8" t="str">
        <f t="array" ref="J62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E06</v>
      </c>
      <c r="K621" s="8" t="str">
        <f t="array" ref="K621">IF(I621=1,"Event",IF(J621="-","Normal",IF(INDEX(Event_Rumor!$G$2:$G$9,MATCH(J621,Event_Rumor!$A$2:$A$9,0))&gt;ROW(),"Pre","Post")))</f>
        <v>Event</v>
      </c>
      <c r="L621" s="11">
        <f t="array" ref="L621">IF(J621="-","-",INDEX(Event_Rumor!$E$2:$E$9,MATCH(J621,Event_Rumor!$A$2:$A$9,0)))</f>
        <v>0</v>
      </c>
    </row>
    <row r="622" spans="1:12" ht="15" customHeight="1" x14ac:dyDescent="0.3">
      <c r="A622" s="26">
        <v>46254</v>
      </c>
      <c r="B622" s="6">
        <v>16000</v>
      </c>
      <c r="C622" s="6">
        <v>17450</v>
      </c>
      <c r="D622" s="6">
        <v>15700</v>
      </c>
      <c r="E622" s="6">
        <v>16175</v>
      </c>
      <c r="F622" s="6">
        <v>2681700</v>
      </c>
      <c r="G622" s="7">
        <f t="shared" ref="G622:H622" si="619">(E622-E621)/E621</f>
        <v>3.3546325878594248E-2</v>
      </c>
      <c r="H622" s="7">
        <f t="shared" si="619"/>
        <v>-0.37391730674946888</v>
      </c>
      <c r="I622" s="8">
        <f>IF(COUNTIF(Event_Rumor!$B$2:$B$9,A622)&gt;0,1,0)</f>
        <v>0</v>
      </c>
      <c r="J622" s="8" t="str">
        <f t="array" ref="J62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E06</v>
      </c>
      <c r="K622" s="8" t="str">
        <f t="array" ref="K622">IF(I622=1,"Event",IF(J622="-","Normal",IF(INDEX(Event_Rumor!$G$2:$G$9,MATCH(J622,Event_Rumor!$A$2:$A$9,0))&gt;ROW(),"Pre","Post")))</f>
        <v>Post</v>
      </c>
      <c r="L622" s="11">
        <f t="array" ref="L622">IF(J622="-","-",INDEX(Event_Rumor!$E$2:$E$9,MATCH(J622,Event_Rumor!$A$2:$A$9,0)))</f>
        <v>0</v>
      </c>
    </row>
    <row r="623" spans="1:12" ht="15" customHeight="1" x14ac:dyDescent="0.3">
      <c r="A623" s="26">
        <v>46255</v>
      </c>
      <c r="B623" s="6">
        <v>15925</v>
      </c>
      <c r="C623" s="6">
        <v>16475</v>
      </c>
      <c r="D623" s="6">
        <v>15525</v>
      </c>
      <c r="E623" s="6">
        <v>15600</v>
      </c>
      <c r="F623" s="6">
        <v>1154800</v>
      </c>
      <c r="G623" s="7">
        <f t="shared" ref="G623:H623" si="620">(E623-E622)/E622</f>
        <v>-3.5548686244204021E-2</v>
      </c>
      <c r="H623" s="7">
        <f t="shared" si="620"/>
        <v>-0.56937763359063276</v>
      </c>
      <c r="I623" s="8">
        <f>IF(COUNTIF(Event_Rumor!$B$2:$B$9,A623)&gt;0,1,0)</f>
        <v>0</v>
      </c>
      <c r="J623" s="8" t="str">
        <f t="array" ref="J62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E06</v>
      </c>
      <c r="K623" s="8" t="str">
        <f t="array" ref="K623">IF(I623=1,"Event",IF(J623="-","Normal",IF(INDEX(Event_Rumor!$G$2:$G$9,MATCH(J623,Event_Rumor!$A$2:$A$9,0))&gt;ROW(),"Pre","Post")))</f>
        <v>Post</v>
      </c>
      <c r="L623" s="11">
        <f t="array" ref="L623">IF(J623="-","-",INDEX(Event_Rumor!$E$2:$E$9,MATCH(J623,Event_Rumor!$A$2:$A$9,0)))</f>
        <v>0</v>
      </c>
    </row>
    <row r="624" spans="1:12" ht="15" customHeight="1" x14ac:dyDescent="0.3">
      <c r="A624" s="26">
        <v>46258</v>
      </c>
      <c r="B624" s="6">
        <v>15600</v>
      </c>
      <c r="C624" s="6">
        <v>15600</v>
      </c>
      <c r="D624" s="6">
        <v>14900</v>
      </c>
      <c r="E624" s="6">
        <v>15100</v>
      </c>
      <c r="F624" s="6">
        <v>468700</v>
      </c>
      <c r="G624" s="7">
        <f t="shared" ref="G624:H624" si="621">(E624-E623)/E623</f>
        <v>-3.2051282051282048E-2</v>
      </c>
      <c r="H624" s="7">
        <f t="shared" si="621"/>
        <v>-0.59412885348112232</v>
      </c>
      <c r="I624" s="8">
        <f>IF(COUNTIF(Event_Rumor!$B$2:$B$9,A624)&gt;0,1,0)</f>
        <v>0</v>
      </c>
      <c r="J624" s="8" t="str">
        <f t="array" ref="J62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E06</v>
      </c>
      <c r="K624" s="8" t="str">
        <f t="array" ref="K624">IF(I624=1,"Event",IF(J624="-","Normal",IF(INDEX(Event_Rumor!$G$2:$G$9,MATCH(J624,Event_Rumor!$A$2:$A$9,0))&gt;ROW(),"Pre","Post")))</f>
        <v>Post</v>
      </c>
      <c r="L624" s="11">
        <f t="array" ref="L624">IF(J624="-","-",INDEX(Event_Rumor!$E$2:$E$9,MATCH(J624,Event_Rumor!$A$2:$A$9,0)))</f>
        <v>0</v>
      </c>
    </row>
    <row r="625" spans="1:12" ht="15" customHeight="1" x14ac:dyDescent="0.3">
      <c r="A625" s="26">
        <v>46260</v>
      </c>
      <c r="B625" s="6">
        <v>15100</v>
      </c>
      <c r="C625" s="6">
        <v>15975</v>
      </c>
      <c r="D625" s="6">
        <v>14700</v>
      </c>
      <c r="E625" s="6">
        <v>15325</v>
      </c>
      <c r="F625" s="6">
        <v>1802800</v>
      </c>
      <c r="G625" s="7">
        <f t="shared" ref="G625:H625" si="622">(E625-E624)/E624</f>
        <v>1.4900662251655629E-2</v>
      </c>
      <c r="H625" s="7">
        <f t="shared" si="622"/>
        <v>2.8463836142521868</v>
      </c>
      <c r="I625" s="8">
        <f>IF(COUNTIF(Event_Rumor!$B$2:$B$9,A625)&gt;0,1,0)</f>
        <v>0</v>
      </c>
      <c r="J625" s="8" t="str">
        <f t="array" ref="J62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E06</v>
      </c>
      <c r="K625" s="8" t="str">
        <f t="array" ref="K625">IF(I625=1,"Event",IF(J625="-","Normal",IF(INDEX(Event_Rumor!$G$2:$G$9,MATCH(J625,Event_Rumor!$A$2:$A$9,0))&gt;ROW(),"Pre","Post")))</f>
        <v>Post</v>
      </c>
      <c r="L625" s="11">
        <f t="array" ref="L625">IF(J625="-","-",INDEX(Event_Rumor!$E$2:$E$9,MATCH(J625,Event_Rumor!$A$2:$A$9,0)))</f>
        <v>0</v>
      </c>
    </row>
    <row r="626" spans="1:12" ht="15" customHeight="1" x14ac:dyDescent="0.3">
      <c r="A626" s="26">
        <v>46261</v>
      </c>
      <c r="B626" s="6">
        <v>15500</v>
      </c>
      <c r="C626" s="6">
        <v>15500</v>
      </c>
      <c r="D626" s="6">
        <v>14950</v>
      </c>
      <c r="E626" s="6">
        <v>15000</v>
      </c>
      <c r="F626" s="6">
        <v>1389600</v>
      </c>
      <c r="G626" s="7">
        <f t="shared" ref="G626:H626" si="623">(E626-E625)/E625</f>
        <v>-2.1207177814029365E-2</v>
      </c>
      <c r="H626" s="7">
        <f t="shared" si="623"/>
        <v>-0.22919902374084758</v>
      </c>
      <c r="I626" s="8">
        <f>IF(COUNTIF(Event_Rumor!$B$2:$B$9,A626)&gt;0,1,0)</f>
        <v>0</v>
      </c>
      <c r="J626" s="8" t="str">
        <f t="array" ref="J62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E06</v>
      </c>
      <c r="K626" s="8" t="str">
        <f t="array" ref="K626">IF(I626=1,"Event",IF(J626="-","Normal",IF(INDEX(Event_Rumor!$G$2:$G$9,MATCH(J626,Event_Rumor!$A$2:$A$9,0))&gt;ROW(),"Pre","Post")))</f>
        <v>Post</v>
      </c>
      <c r="L626" s="11">
        <f t="array" ref="L626">IF(J626="-","-",INDEX(Event_Rumor!$E$2:$E$9,MATCH(J626,Event_Rumor!$A$2:$A$9,0)))</f>
        <v>0</v>
      </c>
    </row>
    <row r="627" spans="1:12" ht="15" customHeight="1" x14ac:dyDescent="0.3">
      <c r="A627" s="26">
        <v>46262</v>
      </c>
      <c r="B627" s="6">
        <v>15050</v>
      </c>
      <c r="C627" s="6">
        <v>15200</v>
      </c>
      <c r="D627" s="6">
        <v>14400</v>
      </c>
      <c r="E627" s="6">
        <v>14575</v>
      </c>
      <c r="F627" s="6">
        <v>863200</v>
      </c>
      <c r="G627" s="7">
        <f t="shared" ref="G627:H627" si="624">(E627-E626)/E626</f>
        <v>-2.8333333333333332E-2</v>
      </c>
      <c r="H627" s="7">
        <f t="shared" si="624"/>
        <v>-0.37881404720782957</v>
      </c>
      <c r="I627" s="8">
        <f>IF(COUNTIF(Event_Rumor!$B$2:$B$9,A627)&gt;0,1,0)</f>
        <v>0</v>
      </c>
      <c r="J627" s="8" t="str">
        <f t="array" ref="J62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27" s="8" t="str">
        <f t="array" ref="K627">IF(I627=1,"Event",IF(J627="-","Normal",IF(INDEX(Event_Rumor!$G$2:$G$9,MATCH(J627,Event_Rumor!$A$2:$A$9,0))&gt;ROW(),"Pre","Post")))</f>
        <v>Normal</v>
      </c>
      <c r="L627" s="11" t="str">
        <f t="array" ref="L627">IF(J627="-","-",INDEX(Event_Rumor!$E$2:$E$9,MATCH(J627,Event_Rumor!$A$2:$A$9,0)))</f>
        <v>-</v>
      </c>
    </row>
    <row r="628" spans="1:12" ht="15" customHeight="1" x14ac:dyDescent="0.3">
      <c r="A628" s="26">
        <v>46265</v>
      </c>
      <c r="B628" s="6">
        <v>14550</v>
      </c>
      <c r="C628" s="6">
        <v>14550</v>
      </c>
      <c r="D628" s="6">
        <v>13825</v>
      </c>
      <c r="E628" s="6">
        <v>14075</v>
      </c>
      <c r="F628" s="6">
        <v>1118500</v>
      </c>
      <c r="G628" s="7">
        <f t="shared" ref="G628:H628" si="625">(E628-E627)/E627</f>
        <v>-3.430531732418525E-2</v>
      </c>
      <c r="H628" s="7">
        <f t="shared" si="625"/>
        <v>0.29575996292863765</v>
      </c>
      <c r="I628" s="8">
        <f>IF(COUNTIF(Event_Rumor!$B$2:$B$9,A628)&gt;0,1,0)</f>
        <v>0</v>
      </c>
      <c r="J628" s="8" t="str">
        <f t="array" ref="J62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28" s="8" t="str">
        <f t="array" ref="K628">IF(I628=1,"Event",IF(J628="-","Normal",IF(INDEX(Event_Rumor!$G$2:$G$9,MATCH(J628,Event_Rumor!$A$2:$A$9,0))&gt;ROW(),"Pre","Post")))</f>
        <v>Normal</v>
      </c>
      <c r="L628" s="11" t="str">
        <f t="array" ref="L628">IF(J628="-","-",INDEX(Event_Rumor!$E$2:$E$9,MATCH(J628,Event_Rumor!$A$2:$A$9,0)))</f>
        <v>-</v>
      </c>
    </row>
    <row r="629" spans="1:12" ht="15" customHeight="1" x14ac:dyDescent="0.3">
      <c r="A629" s="26">
        <v>46266</v>
      </c>
      <c r="B629" s="6">
        <v>14075</v>
      </c>
      <c r="C629" s="6">
        <v>14250</v>
      </c>
      <c r="D629" s="6">
        <v>13875</v>
      </c>
      <c r="E629" s="6">
        <v>14050</v>
      </c>
      <c r="F629" s="6">
        <v>534900</v>
      </c>
      <c r="G629" s="7">
        <f t="shared" ref="G629:H629" si="626">(E629-E628)/E628</f>
        <v>-1.7761989342806395E-3</v>
      </c>
      <c r="H629" s="7">
        <f t="shared" si="626"/>
        <v>-0.52177022798390704</v>
      </c>
      <c r="I629" s="8">
        <f>IF(COUNTIF(Event_Rumor!$B$2:$B$9,A629)&gt;0,1,0)</f>
        <v>0</v>
      </c>
      <c r="J629" s="8" t="str">
        <f t="array" ref="J62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29" s="8" t="str">
        <f t="array" ref="K629">IF(I629=1,"Event",IF(J629="-","Normal",IF(INDEX(Event_Rumor!$G$2:$G$9,MATCH(J629,Event_Rumor!$A$2:$A$9,0))&gt;ROW(),"Pre","Post")))</f>
        <v>Normal</v>
      </c>
      <c r="L629" s="11" t="str">
        <f t="array" ref="L629">IF(J629="-","-",INDEX(Event_Rumor!$E$2:$E$9,MATCH(J629,Event_Rumor!$A$2:$A$9,0)))</f>
        <v>-</v>
      </c>
    </row>
    <row r="630" spans="1:12" ht="15" customHeight="1" x14ac:dyDescent="0.3">
      <c r="A630" s="26">
        <v>46267</v>
      </c>
      <c r="B630" s="6">
        <v>14100</v>
      </c>
      <c r="C630" s="6">
        <v>14100</v>
      </c>
      <c r="D630" s="6">
        <v>13425</v>
      </c>
      <c r="E630" s="6">
        <v>13700</v>
      </c>
      <c r="F630" s="6">
        <v>1430400</v>
      </c>
      <c r="G630" s="7">
        <f t="shared" ref="G630:H630" si="627">(E630-E629)/E629</f>
        <v>-2.491103202846975E-2</v>
      </c>
      <c r="H630" s="7">
        <f t="shared" si="627"/>
        <v>1.6741446999439147</v>
      </c>
      <c r="I630" s="8">
        <f>IF(COUNTIF(Event_Rumor!$B$2:$B$9,A630)&gt;0,1,0)</f>
        <v>0</v>
      </c>
      <c r="J630" s="8" t="str">
        <f t="array" ref="J63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0" s="8" t="str">
        <f t="array" ref="K630">IF(I630=1,"Event",IF(J630="-","Normal",IF(INDEX(Event_Rumor!$G$2:$G$9,MATCH(J630,Event_Rumor!$A$2:$A$9,0))&gt;ROW(),"Pre","Post")))</f>
        <v>Normal</v>
      </c>
      <c r="L630" s="11" t="str">
        <f t="array" ref="L630">IF(J630="-","-",INDEX(Event_Rumor!$E$2:$E$9,MATCH(J630,Event_Rumor!$A$2:$A$9,0)))</f>
        <v>-</v>
      </c>
    </row>
    <row r="631" spans="1:12" ht="15" customHeight="1" x14ac:dyDescent="0.3">
      <c r="A631" s="26">
        <v>46268</v>
      </c>
      <c r="B631" s="6">
        <v>14000</v>
      </c>
      <c r="C631" s="6">
        <v>14000</v>
      </c>
      <c r="D631" s="6">
        <v>13650</v>
      </c>
      <c r="E631" s="6">
        <v>13825</v>
      </c>
      <c r="F631" s="6">
        <v>593300</v>
      </c>
      <c r="G631" s="7">
        <f t="shared" ref="G631:H631" si="628">(E631-E630)/E630</f>
        <v>9.1240875912408752E-3</v>
      </c>
      <c r="H631" s="7">
        <f t="shared" si="628"/>
        <v>-0.58522091722595082</v>
      </c>
      <c r="I631" s="8">
        <f>IF(COUNTIF(Event_Rumor!$B$2:$B$9,A631)&gt;0,1,0)</f>
        <v>0</v>
      </c>
      <c r="J631" s="8" t="str">
        <f t="array" ref="J63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1" s="8" t="str">
        <f t="array" ref="K631">IF(I631=1,"Event",IF(J631="-","Normal",IF(INDEX(Event_Rumor!$G$2:$G$9,MATCH(J631,Event_Rumor!$A$2:$A$9,0))&gt;ROW(),"Pre","Post")))</f>
        <v>Normal</v>
      </c>
      <c r="L631" s="11" t="str">
        <f t="array" ref="L631">IF(J631="-","-",INDEX(Event_Rumor!$E$2:$E$9,MATCH(J631,Event_Rumor!$A$2:$A$9,0)))</f>
        <v>-</v>
      </c>
    </row>
    <row r="632" spans="1:12" ht="15" customHeight="1" x14ac:dyDescent="0.3">
      <c r="A632" s="26">
        <v>46269</v>
      </c>
      <c r="B632" s="6">
        <v>13825</v>
      </c>
      <c r="C632" s="6">
        <v>14325</v>
      </c>
      <c r="D632" s="6">
        <v>13775</v>
      </c>
      <c r="E632" s="6">
        <v>13800</v>
      </c>
      <c r="F632" s="6">
        <v>800700</v>
      </c>
      <c r="G632" s="7">
        <f t="shared" ref="G632:H632" si="629">(E632-E631)/E631</f>
        <v>-1.8083182640144665E-3</v>
      </c>
      <c r="H632" s="7">
        <f t="shared" si="629"/>
        <v>0.34957020057306593</v>
      </c>
      <c r="I632" s="8">
        <f>IF(COUNTIF(Event_Rumor!$B$2:$B$9,A632)&gt;0,1,0)</f>
        <v>0</v>
      </c>
      <c r="J632" s="8" t="str">
        <f t="array" ref="J63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2" s="8" t="str">
        <f t="array" ref="K632">IF(I632=1,"Event",IF(J632="-","Normal",IF(INDEX(Event_Rumor!$G$2:$G$9,MATCH(J632,Event_Rumor!$A$2:$A$9,0))&gt;ROW(),"Pre","Post")))</f>
        <v>Normal</v>
      </c>
      <c r="L632" s="11" t="str">
        <f t="array" ref="L632">IF(J632="-","-",INDEX(Event_Rumor!$E$2:$E$9,MATCH(J632,Event_Rumor!$A$2:$A$9,0)))</f>
        <v>-</v>
      </c>
    </row>
    <row r="633" spans="1:12" ht="15" customHeight="1" x14ac:dyDescent="0.3">
      <c r="A633" s="26">
        <v>46272</v>
      </c>
      <c r="B633" s="6">
        <v>13850</v>
      </c>
      <c r="C633" s="6">
        <v>14000</v>
      </c>
      <c r="D633" s="6">
        <v>13775</v>
      </c>
      <c r="E633" s="6">
        <v>13800</v>
      </c>
      <c r="F633" s="6">
        <v>358600</v>
      </c>
      <c r="G633" s="7">
        <f t="shared" ref="G633:H633" si="630">(E633-E632)/E632</f>
        <v>0</v>
      </c>
      <c r="H633" s="7">
        <f t="shared" si="630"/>
        <v>-0.55214187585862373</v>
      </c>
      <c r="I633" s="8">
        <f>IF(COUNTIF(Event_Rumor!$B$2:$B$9,A633)&gt;0,1,0)</f>
        <v>0</v>
      </c>
      <c r="J633" s="8" t="str">
        <f t="array" ref="J63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3" s="8" t="str">
        <f t="array" ref="K633">IF(I633=1,"Event",IF(J633="-","Normal",IF(INDEX(Event_Rumor!$G$2:$G$9,MATCH(J633,Event_Rumor!$A$2:$A$9,0))&gt;ROW(),"Pre","Post")))</f>
        <v>Normal</v>
      </c>
      <c r="L633" s="11" t="str">
        <f t="array" ref="L633">IF(J633="-","-",INDEX(Event_Rumor!$E$2:$E$9,MATCH(J633,Event_Rumor!$A$2:$A$9,0)))</f>
        <v>-</v>
      </c>
    </row>
    <row r="634" spans="1:12" ht="15" customHeight="1" x14ac:dyDescent="0.3">
      <c r="A634" s="26">
        <v>46273</v>
      </c>
      <c r="B634" s="6">
        <v>14000</v>
      </c>
      <c r="C634" s="6">
        <v>14000</v>
      </c>
      <c r="D634" s="6">
        <v>13600</v>
      </c>
      <c r="E634" s="6">
        <v>13775</v>
      </c>
      <c r="F634" s="6">
        <v>328900</v>
      </c>
      <c r="G634" s="7">
        <f t="shared" ref="G634:H634" si="631">(E634-E633)/E633</f>
        <v>-1.8115942028985507E-3</v>
      </c>
      <c r="H634" s="7">
        <f t="shared" si="631"/>
        <v>-8.2822085889570546E-2</v>
      </c>
      <c r="I634" s="8">
        <f>IF(COUNTIF(Event_Rumor!$B$2:$B$9,A634)&gt;0,1,0)</f>
        <v>0</v>
      </c>
      <c r="J634" s="8" t="str">
        <f t="array" ref="J63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4" s="8" t="str">
        <f t="array" ref="K634">IF(I634=1,"Event",IF(J634="-","Normal",IF(INDEX(Event_Rumor!$G$2:$G$9,MATCH(J634,Event_Rumor!$A$2:$A$9,0))&gt;ROW(),"Pre","Post")))</f>
        <v>Normal</v>
      </c>
      <c r="L634" s="11" t="str">
        <f t="array" ref="L634">IF(J634="-","-",INDEX(Event_Rumor!$E$2:$E$9,MATCH(J634,Event_Rumor!$A$2:$A$9,0)))</f>
        <v>-</v>
      </c>
    </row>
    <row r="635" spans="1:12" ht="15" customHeight="1" x14ac:dyDescent="0.3">
      <c r="A635" s="26">
        <v>46274</v>
      </c>
      <c r="B635" s="6">
        <v>13775</v>
      </c>
      <c r="C635" s="6">
        <v>13850</v>
      </c>
      <c r="D635" s="6">
        <v>13300</v>
      </c>
      <c r="E635" s="6">
        <v>13775</v>
      </c>
      <c r="F635" s="6">
        <v>1514700</v>
      </c>
      <c r="G635" s="7">
        <f t="shared" ref="G635:H635" si="632">(E635-E634)/E634</f>
        <v>0</v>
      </c>
      <c r="H635" s="7">
        <f t="shared" si="632"/>
        <v>3.6053511705685617</v>
      </c>
      <c r="I635" s="8">
        <f>IF(COUNTIF(Event_Rumor!$B$2:$B$9,A635)&gt;0,1,0)</f>
        <v>0</v>
      </c>
      <c r="J635" s="8" t="str">
        <f t="array" ref="J63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5" s="8" t="str">
        <f t="array" ref="K635">IF(I635=1,"Event",IF(J635="-","Normal",IF(INDEX(Event_Rumor!$G$2:$G$9,MATCH(J635,Event_Rumor!$A$2:$A$9,0))&gt;ROW(),"Pre","Post")))</f>
        <v>Normal</v>
      </c>
      <c r="L635" s="11" t="str">
        <f t="array" ref="L635">IF(J635="-","-",INDEX(Event_Rumor!$E$2:$E$9,MATCH(J635,Event_Rumor!$A$2:$A$9,0)))</f>
        <v>-</v>
      </c>
    </row>
    <row r="636" spans="1:12" ht="15" customHeight="1" x14ac:dyDescent="0.3">
      <c r="A636" s="26">
        <v>46275</v>
      </c>
      <c r="B636" s="6">
        <v>13300</v>
      </c>
      <c r="C636" s="6">
        <v>13650</v>
      </c>
      <c r="D636" s="6">
        <v>13100</v>
      </c>
      <c r="E636" s="6">
        <v>13100</v>
      </c>
      <c r="F636" s="6">
        <v>1567600</v>
      </c>
      <c r="G636" s="7">
        <f t="shared" ref="G636:H636" si="633">(E636-E635)/E635</f>
        <v>-4.9001814882032667E-2</v>
      </c>
      <c r="H636" s="7">
        <f t="shared" si="633"/>
        <v>3.492440747342708E-2</v>
      </c>
      <c r="I636" s="8">
        <f>IF(COUNTIF(Event_Rumor!$B$2:$B$9,A636)&gt;0,1,0)</f>
        <v>0</v>
      </c>
      <c r="J636" s="8" t="str">
        <f t="array" ref="J63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6" s="8" t="str">
        <f t="array" ref="K636">IF(I636=1,"Event",IF(J636="-","Normal",IF(INDEX(Event_Rumor!$G$2:$G$9,MATCH(J636,Event_Rumor!$A$2:$A$9,0))&gt;ROW(),"Pre","Post")))</f>
        <v>Normal</v>
      </c>
      <c r="L636" s="11" t="str">
        <f t="array" ref="L636">IF(J636="-","-",INDEX(Event_Rumor!$E$2:$E$9,MATCH(J636,Event_Rumor!$A$2:$A$9,0)))</f>
        <v>-</v>
      </c>
    </row>
    <row r="637" spans="1:12" ht="15" customHeight="1" x14ac:dyDescent="0.3">
      <c r="A637" s="26">
        <v>46276</v>
      </c>
      <c r="B637" s="6">
        <v>12900</v>
      </c>
      <c r="C637" s="6">
        <v>13000</v>
      </c>
      <c r="D637" s="6">
        <v>12150</v>
      </c>
      <c r="E637" s="6">
        <v>12350</v>
      </c>
      <c r="F637" s="6">
        <v>1183100</v>
      </c>
      <c r="G637" s="7">
        <f t="shared" ref="G637:H637" si="634">(E637-E636)/E636</f>
        <v>-5.7251908396946563E-2</v>
      </c>
      <c r="H637" s="7">
        <f t="shared" si="634"/>
        <v>-0.24527940801224801</v>
      </c>
      <c r="I637" s="8">
        <f>IF(COUNTIF(Event_Rumor!$B$2:$B$9,A637)&gt;0,1,0)</f>
        <v>0</v>
      </c>
      <c r="J637" s="8" t="str">
        <f t="array" ref="J63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-</v>
      </c>
      <c r="K637" s="8" t="str">
        <f t="array" ref="K637">IF(I637=1,"Event",IF(J637="-","Normal",IF(INDEX(Event_Rumor!$G$2:$G$9,MATCH(J637,Event_Rumor!$A$2:$A$9,0))&gt;ROW(),"Pre","Post")))</f>
        <v>Normal</v>
      </c>
      <c r="L637" s="11" t="str">
        <f t="array" ref="L637">IF(J637="-","-",INDEX(Event_Rumor!$E$2:$E$9,MATCH(J637,Event_Rumor!$A$2:$A$9,0)))</f>
        <v>-</v>
      </c>
    </row>
    <row r="638" spans="1:12" ht="15" customHeight="1" x14ac:dyDescent="0.3">
      <c r="A638" s="26">
        <v>46279</v>
      </c>
      <c r="B638" s="6">
        <v>12350</v>
      </c>
      <c r="C638" s="6">
        <v>12400</v>
      </c>
      <c r="D638" s="6">
        <v>10625</v>
      </c>
      <c r="E638" s="6">
        <v>11100</v>
      </c>
      <c r="F638" s="6">
        <v>1949300</v>
      </c>
      <c r="G638" s="7">
        <f t="shared" ref="G638:H638" si="635">(E638-E637)/E637</f>
        <v>-0.10121457489878542</v>
      </c>
      <c r="H638" s="7">
        <f t="shared" si="635"/>
        <v>0.6476206575944552</v>
      </c>
      <c r="I638" s="8">
        <f>IF(COUNTIF(Event_Rumor!$B$2:$B$9,A638)&gt;0,1,0)</f>
        <v>0</v>
      </c>
      <c r="J638" s="8" t="str">
        <f t="array" ref="J63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38" s="8" t="str">
        <f t="array" ref="K638">IF(I638=1,"Event",IF(J638="-","Normal",IF(INDEX(Event_Rumor!$G$2:$G$9,MATCH(J638,Event_Rumor!$A$2:$A$9,0))&gt;ROW(),"Pre","Post")))</f>
        <v>Pre</v>
      </c>
      <c r="L638" s="11">
        <f t="array" ref="L638">IF(J638="-","-",INDEX(Event_Rumor!$E$2:$E$9,MATCH(J638,Event_Rumor!$A$2:$A$9,0)))</f>
        <v>1</v>
      </c>
    </row>
    <row r="639" spans="1:12" ht="15" customHeight="1" x14ac:dyDescent="0.3">
      <c r="A639" s="26">
        <v>46280</v>
      </c>
      <c r="B639" s="6">
        <v>10925</v>
      </c>
      <c r="C639" s="6">
        <v>11000</v>
      </c>
      <c r="D639" s="6">
        <v>10075</v>
      </c>
      <c r="E639" s="6">
        <v>10200</v>
      </c>
      <c r="F639" s="6">
        <v>2441600</v>
      </c>
      <c r="G639" s="7">
        <f t="shared" ref="G639:H639" si="636">(E639-E638)/E638</f>
        <v>-8.1081081081081086E-2</v>
      </c>
      <c r="H639" s="7">
        <f t="shared" si="636"/>
        <v>0.25255219822500385</v>
      </c>
      <c r="I639" s="8">
        <f>IF(COUNTIF(Event_Rumor!$B$2:$B$9,A639)&gt;0,1,0)</f>
        <v>0</v>
      </c>
      <c r="J639" s="8" t="str">
        <f t="array" ref="J63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39" s="8" t="str">
        <f t="array" ref="K639">IF(I639=1,"Event",IF(J639="-","Normal",IF(INDEX(Event_Rumor!$G$2:$G$9,MATCH(J639,Event_Rumor!$A$2:$A$9,0))&gt;ROW(),"Pre","Post")))</f>
        <v>Pre</v>
      </c>
      <c r="L639" s="11">
        <f t="array" ref="L639">IF(J639="-","-",INDEX(Event_Rumor!$E$2:$E$9,MATCH(J639,Event_Rumor!$A$2:$A$9,0)))</f>
        <v>1</v>
      </c>
    </row>
    <row r="640" spans="1:12" ht="15" customHeight="1" x14ac:dyDescent="0.3">
      <c r="A640" s="26">
        <v>46281</v>
      </c>
      <c r="B640" s="6">
        <v>10200</v>
      </c>
      <c r="C640" s="6">
        <v>12225</v>
      </c>
      <c r="D640" s="6">
        <v>10175</v>
      </c>
      <c r="E640" s="6">
        <v>11350</v>
      </c>
      <c r="F640" s="6">
        <v>9855500</v>
      </c>
      <c r="G640" s="7">
        <f t="shared" ref="G640:H640" si="637">(E640-E639)/E639</f>
        <v>0.11274509803921569</v>
      </c>
      <c r="H640" s="7">
        <f t="shared" si="637"/>
        <v>3.0364924639580604</v>
      </c>
      <c r="I640" s="8">
        <f>IF(COUNTIF(Event_Rumor!$B$2:$B$9,A640)&gt;0,1,0)</f>
        <v>0</v>
      </c>
      <c r="J640" s="8" t="str">
        <f t="array" ref="J64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40" s="8" t="str">
        <f t="array" ref="K640">IF(I640=1,"Event",IF(J640="-","Normal",IF(INDEX(Event_Rumor!$G$2:$G$9,MATCH(J640,Event_Rumor!$A$2:$A$9,0))&gt;ROW(),"Pre","Post")))</f>
        <v>Pre</v>
      </c>
      <c r="L640" s="11">
        <f t="array" ref="L640">IF(J640="-","-",INDEX(Event_Rumor!$E$2:$E$9,MATCH(J640,Event_Rumor!$A$2:$A$9,0)))</f>
        <v>1</v>
      </c>
    </row>
    <row r="641" spans="1:12" ht="15" customHeight="1" x14ac:dyDescent="0.3">
      <c r="A641" s="26">
        <v>46282</v>
      </c>
      <c r="B641" s="6">
        <v>11350</v>
      </c>
      <c r="C641" s="6">
        <v>11800</v>
      </c>
      <c r="D641" s="6">
        <v>11200</v>
      </c>
      <c r="E641" s="6">
        <v>11525</v>
      </c>
      <c r="F641" s="6">
        <v>2908100</v>
      </c>
      <c r="G641" s="7">
        <f t="shared" ref="G641:H641" si="638">(E641-E640)/E640</f>
        <v>1.5418502202643172E-2</v>
      </c>
      <c r="H641" s="7">
        <f t="shared" si="638"/>
        <v>-0.70492618334939883</v>
      </c>
      <c r="I641" s="8">
        <f>IF(COUNTIF(Event_Rumor!$B$2:$B$9,A641)&gt;0,1,0)</f>
        <v>0</v>
      </c>
      <c r="J641" s="8" t="str">
        <f t="array" ref="J64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41" s="8" t="str">
        <f t="array" ref="K641">IF(I641=1,"Event",IF(J641="-","Normal",IF(INDEX(Event_Rumor!$G$2:$G$9,MATCH(J641,Event_Rumor!$A$2:$A$9,0))&gt;ROW(),"Pre","Post")))</f>
        <v>Pre</v>
      </c>
      <c r="L641" s="11">
        <f t="array" ref="L641">IF(J641="-","-",INDEX(Event_Rumor!$E$2:$E$9,MATCH(J641,Event_Rumor!$A$2:$A$9,0)))</f>
        <v>1</v>
      </c>
    </row>
    <row r="642" spans="1:12" ht="15" customHeight="1" x14ac:dyDescent="0.3">
      <c r="A642" s="26">
        <v>46283</v>
      </c>
      <c r="B642" s="6">
        <v>13825</v>
      </c>
      <c r="C642" s="6">
        <v>13825</v>
      </c>
      <c r="D642" s="6">
        <v>13100</v>
      </c>
      <c r="E642" s="6">
        <v>13825</v>
      </c>
      <c r="F642" s="6">
        <v>11454300</v>
      </c>
      <c r="G642" s="7">
        <f t="shared" ref="G642:H642" si="639">(E642-E641)/E641</f>
        <v>0.19956616052060738</v>
      </c>
      <c r="H642" s="7">
        <f t="shared" si="639"/>
        <v>2.9387572641931157</v>
      </c>
      <c r="I642" s="8">
        <f>IF(COUNTIF(Event_Rumor!$B$2:$B$9,A642)&gt;0,1,0)</f>
        <v>0</v>
      </c>
      <c r="J642" s="8" t="str">
        <f t="array" ref="J642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42" s="8" t="str">
        <f t="array" ref="K642">IF(I642=1,"Event",IF(J642="-","Normal",IF(INDEX(Event_Rumor!$G$2:$G$9,MATCH(J642,Event_Rumor!$A$2:$A$9,0))&gt;ROW(),"Pre","Post")))</f>
        <v>Pre</v>
      </c>
      <c r="L642" s="11">
        <f t="array" ref="L642">IF(J642="-","-",INDEX(Event_Rumor!$E$2:$E$9,MATCH(J642,Event_Rumor!$A$2:$A$9,0)))</f>
        <v>1</v>
      </c>
    </row>
    <row r="643" spans="1:12" ht="15" customHeight="1" x14ac:dyDescent="0.3">
      <c r="A643" s="26">
        <v>46286</v>
      </c>
      <c r="B643" s="6">
        <v>13750</v>
      </c>
      <c r="C643" s="6">
        <v>13875</v>
      </c>
      <c r="D643" s="6">
        <v>12100</v>
      </c>
      <c r="E643" s="6">
        <v>13125</v>
      </c>
      <c r="F643" s="6">
        <v>7647200</v>
      </c>
      <c r="G643" s="7">
        <f t="shared" ref="G643:H643" si="640">(E643-E642)/E642</f>
        <v>-5.0632911392405063E-2</v>
      </c>
      <c r="H643" s="7">
        <f t="shared" si="640"/>
        <v>-0.33237299529434361</v>
      </c>
      <c r="I643" s="8">
        <f>IF(COUNTIF(Event_Rumor!$B$2:$B$9,A643)&gt;0,1,0)</f>
        <v>1</v>
      </c>
      <c r="J643" s="8" t="str">
        <f t="array" ref="J643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43" s="8" t="str">
        <f t="array" ref="K643">IF(I643=1,"Event",IF(J643="-","Normal",IF(INDEX(Event_Rumor!$G$2:$G$9,MATCH(J643,Event_Rumor!$A$2:$A$9,0))&gt;ROW(),"Pre","Post")))</f>
        <v>Event</v>
      </c>
      <c r="L643" s="11">
        <f t="array" ref="L643">IF(J643="-","-",INDEX(Event_Rumor!$E$2:$E$9,MATCH(J643,Event_Rumor!$A$2:$A$9,0)))</f>
        <v>1</v>
      </c>
    </row>
    <row r="644" spans="1:12" ht="15" customHeight="1" x14ac:dyDescent="0.3">
      <c r="A644" s="26">
        <v>46287</v>
      </c>
      <c r="B644" s="6">
        <v>13125</v>
      </c>
      <c r="C644" s="6">
        <v>13575</v>
      </c>
      <c r="D644" s="6">
        <v>11800</v>
      </c>
      <c r="E644" s="6">
        <v>11850</v>
      </c>
      <c r="F644" s="6">
        <v>7785600</v>
      </c>
      <c r="G644" s="7">
        <f t="shared" ref="G644:H644" si="641">(E644-E643)/E643</f>
        <v>-9.7142857142857142E-2</v>
      </c>
      <c r="H644" s="7">
        <f t="shared" si="641"/>
        <v>1.8098127419186108E-2</v>
      </c>
      <c r="I644" s="8">
        <f>IF(COUNTIF(Event_Rumor!$B$2:$B$9,A644)&gt;0,1,0)</f>
        <v>0</v>
      </c>
      <c r="J644" s="8" t="str">
        <f t="array" ref="J644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44" s="8" t="str">
        <f t="array" ref="K644">IF(I644=1,"Event",IF(J644="-","Normal",IF(INDEX(Event_Rumor!$G$2:$G$9,MATCH(J644,Event_Rumor!$A$2:$A$9,0))&gt;ROW(),"Pre","Post")))</f>
        <v>Post</v>
      </c>
      <c r="L644" s="11">
        <f t="array" ref="L644">IF(J644="-","-",INDEX(Event_Rumor!$E$2:$E$9,MATCH(J644,Event_Rumor!$A$2:$A$9,0)))</f>
        <v>1</v>
      </c>
    </row>
    <row r="645" spans="1:12" ht="15" customHeight="1" x14ac:dyDescent="0.3">
      <c r="A645" s="26">
        <v>46288</v>
      </c>
      <c r="B645" s="6">
        <v>11950</v>
      </c>
      <c r="C645" s="6">
        <v>12575</v>
      </c>
      <c r="D645" s="6">
        <v>11400</v>
      </c>
      <c r="E645" s="6">
        <v>12300</v>
      </c>
      <c r="F645" s="6">
        <v>3295100</v>
      </c>
      <c r="G645" s="7">
        <f t="shared" ref="G645:H645" si="642">(E645-E644)/E644</f>
        <v>3.7974683544303799E-2</v>
      </c>
      <c r="H645" s="7">
        <f t="shared" si="642"/>
        <v>-0.57676993423756684</v>
      </c>
      <c r="I645" s="8">
        <f>IF(COUNTIF(Event_Rumor!$B$2:$B$9,A645)&gt;0,1,0)</f>
        <v>0</v>
      </c>
      <c r="J645" s="8" t="str">
        <f t="array" ref="J645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E07</v>
      </c>
      <c r="K645" s="8" t="str">
        <f t="array" ref="K645">IF(I645=1,"Event",IF(J645="-","Normal",IF(INDEX(Event_Rumor!$G$2:$G$9,MATCH(J645,Event_Rumor!$A$2:$A$9,0))&gt;ROW(),"Pre","Post")))</f>
        <v>Post</v>
      </c>
      <c r="L645" s="11">
        <f t="array" ref="L645">IF(J645="-","-",INDEX(Event_Rumor!$E$2:$E$9,MATCH(J645,Event_Rumor!$A$2:$A$9,0)))</f>
        <v>1</v>
      </c>
    </row>
    <row r="646" spans="1:12" ht="15" customHeight="1" x14ac:dyDescent="0.3">
      <c r="A646" s="26">
        <v>46289</v>
      </c>
      <c r="B646" s="6">
        <v>12350</v>
      </c>
      <c r="C646" s="6">
        <v>12550</v>
      </c>
      <c r="D646" s="6">
        <v>11875</v>
      </c>
      <c r="E646" s="6">
        <v>12375</v>
      </c>
      <c r="F646" s="6">
        <v>2467000</v>
      </c>
      <c r="G646" s="7">
        <f t="shared" ref="G646:H646" si="643">(E646-E645)/E645</f>
        <v>6.0975609756097563E-3</v>
      </c>
      <c r="H646" s="7">
        <f t="shared" si="643"/>
        <v>-0.25131255500591787</v>
      </c>
      <c r="I646" s="8">
        <f>IF(COUNTIF(Event_Rumor!$B$2:$B$9,A646)&gt;0,1,0)</f>
        <v>0</v>
      </c>
      <c r="J646" s="8" t="str">
        <f t="array" ref="J646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E08</v>
      </c>
      <c r="K646" s="8" t="str">
        <f t="array" ref="K646">IF(I646=1,"Event",IF(J646="-","Normal",IF(INDEX(Event_Rumor!$G$2:$G$9,MATCH(J646,Event_Rumor!$A$2:$A$9,0))&gt;ROW(),"Pre","Post")))</f>
        <v>Pre</v>
      </c>
      <c r="L646" s="11">
        <f t="array" ref="L646">IF(J646="-","-",INDEX(Event_Rumor!$E$2:$E$9,MATCH(J646,Event_Rumor!$A$2:$A$9,0)))</f>
        <v>0</v>
      </c>
    </row>
    <row r="647" spans="1:12" ht="15" customHeight="1" x14ac:dyDescent="0.3">
      <c r="A647" s="26">
        <v>46290</v>
      </c>
      <c r="B647" s="6">
        <v>12450</v>
      </c>
      <c r="C647" s="6">
        <v>12475</v>
      </c>
      <c r="D647" s="6">
        <v>12050</v>
      </c>
      <c r="E647" s="6">
        <v>12100</v>
      </c>
      <c r="F647" s="6">
        <v>1329200</v>
      </c>
      <c r="G647" s="7">
        <f t="shared" ref="G647:H647" si="644">(E647-E646)/E646</f>
        <v>-2.2222222222222223E-2</v>
      </c>
      <c r="H647" s="7">
        <f t="shared" si="644"/>
        <v>-0.46120794487231453</v>
      </c>
      <c r="I647" s="8">
        <f>IF(COUNTIF(Event_Rumor!$B$2:$B$9,A647)&gt;0,1,0)</f>
        <v>1</v>
      </c>
      <c r="J647" s="8" t="str">
        <f t="array" ref="J647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E08</v>
      </c>
      <c r="K647" s="8" t="str">
        <f t="array" ref="K647">IF(I647=1,"Event",IF(J647="-","Normal",IF(INDEX(Event_Rumor!$G$2:$G$9,MATCH(J647,Event_Rumor!$A$2:$A$9,0))&gt;ROW(),"Pre","Post")))</f>
        <v>Event</v>
      </c>
      <c r="L647" s="11">
        <f t="array" ref="L647">IF(J647="-","-",INDEX(Event_Rumor!$E$2:$E$9,MATCH(J647,Event_Rumor!$A$2:$A$9,0)))</f>
        <v>0</v>
      </c>
    </row>
    <row r="648" spans="1:12" ht="15" customHeight="1" x14ac:dyDescent="0.3">
      <c r="A648" s="26">
        <v>46293</v>
      </c>
      <c r="B648" s="6">
        <v>12100</v>
      </c>
      <c r="C648" s="6">
        <v>12350</v>
      </c>
      <c r="D648" s="6">
        <v>11825</v>
      </c>
      <c r="E648" s="6">
        <v>11950</v>
      </c>
      <c r="F648" s="6">
        <v>2227600</v>
      </c>
      <c r="G648" s="7">
        <f t="shared" ref="G648:H648" si="645">(E648-E647)/E647</f>
        <v>-1.2396694214876033E-2</v>
      </c>
      <c r="H648" s="7">
        <f t="shared" si="645"/>
        <v>0.67589527535359617</v>
      </c>
      <c r="I648" s="8">
        <f>IF(COUNTIF(Event_Rumor!$B$2:$B$9,A648)&gt;0,1,0)</f>
        <v>0</v>
      </c>
      <c r="J648" s="8" t="str">
        <f t="array" ref="J648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E08</v>
      </c>
      <c r="K648" s="8" t="str">
        <f t="array" ref="K648">IF(I648=1,"Event",IF(J648="-","Normal",IF(INDEX(Event_Rumor!$G$2:$G$9,MATCH(J648,Event_Rumor!$A$2:$A$9,0))&gt;ROW(),"Pre","Post")))</f>
        <v>Post</v>
      </c>
      <c r="L648" s="11">
        <f t="array" ref="L648">IF(J648="-","-",INDEX(Event_Rumor!$E$2:$E$9,MATCH(J648,Event_Rumor!$A$2:$A$9,0)))</f>
        <v>0</v>
      </c>
    </row>
    <row r="649" spans="1:12" ht="15" customHeight="1" x14ac:dyDescent="0.3">
      <c r="A649" s="26">
        <v>46294</v>
      </c>
      <c r="B649" s="6">
        <v>11950</v>
      </c>
      <c r="C649" s="6">
        <v>12250</v>
      </c>
      <c r="D649" s="6">
        <v>11600</v>
      </c>
      <c r="E649" s="6">
        <v>11925</v>
      </c>
      <c r="F649" s="6">
        <v>1043400</v>
      </c>
      <c r="G649" s="7">
        <f t="shared" ref="G649:H649" si="646">(E649-E648)/E648</f>
        <v>-2.0920502092050207E-3</v>
      </c>
      <c r="H649" s="7">
        <f t="shared" si="646"/>
        <v>-0.53160351948285145</v>
      </c>
      <c r="I649" s="8">
        <f>IF(COUNTIF(Event_Rumor!$B$2:$B$9,A649)&gt;0,1,0)</f>
        <v>0</v>
      </c>
      <c r="J649" s="8" t="str">
        <f t="array" ref="J649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E08</v>
      </c>
      <c r="K649" s="8" t="str">
        <f t="array" ref="K649">IF(I649=1,"Event",IF(J649="-","Normal",IF(INDEX(Event_Rumor!$G$2:$G$9,MATCH(J649,Event_Rumor!$A$2:$A$9,0))&gt;ROW(),"Pre","Post")))</f>
        <v>Post</v>
      </c>
      <c r="L649" s="11">
        <f t="array" ref="L649">IF(J649="-","-",INDEX(Event_Rumor!$E$2:$E$9,MATCH(J649,Event_Rumor!$A$2:$A$9,0)))</f>
        <v>0</v>
      </c>
    </row>
    <row r="650" spans="1:12" ht="15" customHeight="1" x14ac:dyDescent="0.3">
      <c r="A650" s="26">
        <v>46295</v>
      </c>
      <c r="B650" s="6">
        <v>11950</v>
      </c>
      <c r="C650" s="6">
        <v>12175</v>
      </c>
      <c r="D650" s="6">
        <v>11800</v>
      </c>
      <c r="E650" s="6">
        <v>11800</v>
      </c>
      <c r="F650" s="6">
        <v>1086700</v>
      </c>
      <c r="G650" s="7">
        <f t="shared" ref="G650:H650" si="647">(E650-E649)/E649</f>
        <v>-1.0482180293501049E-2</v>
      </c>
      <c r="H650" s="7">
        <f t="shared" si="647"/>
        <v>4.1498945754264903E-2</v>
      </c>
      <c r="I650" s="8">
        <f>IF(COUNTIF(Event_Rumor!$B$2:$B$9,A650)&gt;0,1,0)</f>
        <v>0</v>
      </c>
      <c r="J650" s="8" t="str">
        <f t="array" ref="J650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E08</v>
      </c>
      <c r="K650" s="8" t="str">
        <f t="array" ref="K650">IF(I650=1,"Event",IF(J650="-","Normal",IF(INDEX(Event_Rumor!$G$2:$G$9,MATCH(J650,Event_Rumor!$A$2:$A$9,0))&gt;ROW(),"Pre","Post")))</f>
        <v>Post</v>
      </c>
      <c r="L650" s="11">
        <f t="array" ref="L650">IF(J650="-","-",INDEX(Event_Rumor!$E$2:$E$9,MATCH(J650,Event_Rumor!$A$2:$A$9,0)))</f>
        <v>0</v>
      </c>
    </row>
    <row r="651" spans="1:12" ht="15" customHeight="1" x14ac:dyDescent="0.3">
      <c r="A651" s="26">
        <v>46296</v>
      </c>
      <c r="B651" s="6">
        <v>11800</v>
      </c>
      <c r="C651" s="6">
        <v>11900</v>
      </c>
      <c r="D651" s="6">
        <v>11525</v>
      </c>
      <c r="E651" s="6">
        <v>11650</v>
      </c>
      <c r="F651" s="6">
        <v>722900</v>
      </c>
      <c r="G651" s="7">
        <f t="shared" ref="G651:H651" si="648">(E651-E650)/E650</f>
        <v>-1.2711864406779662E-2</v>
      </c>
      <c r="H651" s="7">
        <f t="shared" si="648"/>
        <v>-0.33477500690162876</v>
      </c>
      <c r="I651" s="8">
        <f>IF(COUNTIF(Event_Rumor!$B$2:$B$9,A651)&gt;0,1,0)</f>
        <v>0</v>
      </c>
      <c r="J651" s="8" t="str">
        <f t="array" ref="J651">IF(AND(ROW()-(SUMPRODUCT(MAX((Event_Rumor!$G$2:$G$9&lt;=ROW())*(Event_Rumor!$G$2:$G$9+100000)))-100000)&lt;=Parameter!$B$2,ROW()-(SUMPRODUCT(MAX((Event_Rumor!$G$2:$G$9&lt;=ROW())*(Event_Rumor!$G$2:$G$9+100000)))-100000)&lt;=SUMPRODUCT(MIN(Event_Rumor!$G$2:$G$9+(Event_Rumor!$G$2:$G$9&lt;ROW())*100000))-ROW()),INDEX(Event_Rumor!$A$2:$A$9,MATCH((SUMPRODUCT(MAX((Event_Rumor!$G$2:$G$9&lt;=ROW())*(Event_Rumor!$G$2:$G$9+100000)))-100000),Event_Rumor!$G$2:$G$9,0)),IF(SUMPRODUCT(MIN(Event_Rumor!$G$2:$G$9+(Event_Rumor!$G$2:$G$9&lt;ROW())*100000))-ROW()&lt;=Parameter!$B$2,INDEX(Event_Rumor!$A$2:$A$9,MATCH(SUMPRODUCT(MIN(Event_Rumor!$G$2:$G$9+(Event_Rumor!$G$2:$G$9&lt;ROW())*100000)),Event_Rumor!$G$2:$G$9,0)),"-"))</f>
        <v>E08</v>
      </c>
      <c r="K651" s="8" t="str">
        <f t="array" ref="K651">IF(I651=1,"Event",IF(J651="-","Normal",IF(INDEX(Event_Rumor!$G$2:$G$9,MATCH(J651,Event_Rumor!$A$2:$A$9,0))&gt;ROW(),"Pre","Post")))</f>
        <v>Post</v>
      </c>
      <c r="L651" s="11">
        <f t="array" ref="L651">IF(J651="-","-",INDEX(Event_Rumor!$E$2:$E$9,MATCH(J651,Event_Rumor!$A$2:$A$9,0)))</f>
        <v>0</v>
      </c>
    </row>
    <row r="652" spans="1:12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conditionalFormatting sqref="A2:L651">
    <cfRule type="expression" dxfId="41" priority="1">
      <formula>$K2="Event"</formula>
    </cfRule>
    <cfRule type="expression" dxfId="40" priority="2">
      <formula>$K2="Pre"</formula>
    </cfRule>
    <cfRule type="expression" dxfId="39" priority="3">
      <formula>$K2="Post"</formula>
    </cfRule>
  </conditionalFormatting>
  <pageMargins left="0.75" right="0.75" top="1" bottom="1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sqref="A1:G9"/>
    </sheetView>
  </sheetViews>
  <sheetFormatPr defaultColWidth="14.44140625" defaultRowHeight="15" customHeight="1" x14ac:dyDescent="0.3"/>
  <cols>
    <col min="1" max="1" width="10.6640625" customWidth="1"/>
    <col min="2" max="2" width="12" customWidth="1"/>
    <col min="3" max="3" width="60" customWidth="1"/>
    <col min="4" max="4" width="18" customWidth="1"/>
    <col min="5" max="5" width="32" customWidth="1"/>
    <col min="6" max="6" width="39.44140625" customWidth="1"/>
    <col min="7" max="7" width="18.44140625" customWidth="1"/>
    <col min="8" max="9" width="8.44140625" customWidth="1"/>
    <col min="10" max="26" width="8.6640625" customWidth="1"/>
  </cols>
  <sheetData>
    <row r="1" spans="1:9" ht="31.5" customHeight="1" x14ac:dyDescent="0.3">
      <c r="A1" s="27" t="s">
        <v>9</v>
      </c>
      <c r="B1" s="28" t="s">
        <v>13</v>
      </c>
      <c r="C1" s="28" t="s">
        <v>16</v>
      </c>
      <c r="D1" s="28" t="s">
        <v>17</v>
      </c>
      <c r="E1" s="28" t="s">
        <v>19</v>
      </c>
      <c r="F1" s="28" t="s">
        <v>20</v>
      </c>
      <c r="G1" s="29" t="s">
        <v>21</v>
      </c>
      <c r="H1" s="4"/>
      <c r="I1" s="5"/>
    </row>
    <row r="2" spans="1:9" ht="33" customHeight="1" x14ac:dyDescent="0.3">
      <c r="A2" s="30" t="s">
        <v>22</v>
      </c>
      <c r="B2" s="31">
        <v>45469</v>
      </c>
      <c r="C2" s="32" t="s">
        <v>23</v>
      </c>
      <c r="D2" s="33" t="s">
        <v>24</v>
      </c>
      <c r="E2" s="33">
        <v>0</v>
      </c>
      <c r="F2" s="32" t="s">
        <v>25</v>
      </c>
      <c r="G2" s="34">
        <f>MATCH(B2,BYAN_Analysis!$A$2:$A$651,0)+1</f>
        <v>109</v>
      </c>
      <c r="H2" s="4"/>
      <c r="I2" s="9"/>
    </row>
    <row r="3" spans="1:9" ht="28.8" customHeight="1" x14ac:dyDescent="0.3">
      <c r="A3" s="30" t="s">
        <v>27</v>
      </c>
      <c r="B3" s="31">
        <v>45533</v>
      </c>
      <c r="C3" s="32" t="s">
        <v>28</v>
      </c>
      <c r="D3" s="33" t="s">
        <v>29</v>
      </c>
      <c r="E3" s="33">
        <v>0</v>
      </c>
      <c r="F3" s="32" t="s">
        <v>30</v>
      </c>
      <c r="G3" s="34">
        <f>MATCH(B3,BYAN_Analysis!$A$2:$A$651,0)+1</f>
        <v>155</v>
      </c>
      <c r="H3" s="4"/>
      <c r="I3" s="10"/>
    </row>
    <row r="4" spans="1:9" ht="27.6" customHeight="1" x14ac:dyDescent="0.3">
      <c r="A4" s="30" t="s">
        <v>31</v>
      </c>
      <c r="B4" s="31">
        <v>46119</v>
      </c>
      <c r="C4" s="32" t="s">
        <v>32</v>
      </c>
      <c r="D4" s="33" t="s">
        <v>24</v>
      </c>
      <c r="E4" s="33">
        <v>0</v>
      </c>
      <c r="F4" s="32" t="s">
        <v>33</v>
      </c>
      <c r="G4" s="34">
        <f>MATCH(B4,BYAN_Analysis!$A$2:$A$651,0)+1</f>
        <v>533</v>
      </c>
      <c r="H4" s="4"/>
      <c r="I4" s="4"/>
    </row>
    <row r="5" spans="1:9" ht="24.6" customHeight="1" x14ac:dyDescent="0.3">
      <c r="A5" s="30" t="s">
        <v>34</v>
      </c>
      <c r="B5" s="31">
        <v>46171</v>
      </c>
      <c r="C5" s="32" t="s">
        <v>35</v>
      </c>
      <c r="D5" s="33" t="s">
        <v>24</v>
      </c>
      <c r="E5" s="33">
        <v>0</v>
      </c>
      <c r="F5" s="32" t="s">
        <v>36</v>
      </c>
      <c r="G5" s="34">
        <f>MATCH(B5,BYAN_Analysis!$A$2:$A$651,0)+1</f>
        <v>566</v>
      </c>
      <c r="H5" s="4"/>
      <c r="I5" s="4"/>
    </row>
    <row r="6" spans="1:9" ht="20.399999999999999" customHeight="1" x14ac:dyDescent="0.3">
      <c r="A6" s="30" t="s">
        <v>37</v>
      </c>
      <c r="B6" s="31">
        <v>46252</v>
      </c>
      <c r="C6" s="32" t="s">
        <v>38</v>
      </c>
      <c r="D6" s="33" t="s">
        <v>39</v>
      </c>
      <c r="E6" s="33">
        <v>1</v>
      </c>
      <c r="F6" s="32" t="s">
        <v>40</v>
      </c>
      <c r="G6" s="34">
        <f>MATCH(B6,BYAN_Analysis!$A$2:$A$651,0)+1</f>
        <v>620</v>
      </c>
      <c r="H6" s="4"/>
      <c r="I6" s="4"/>
    </row>
    <row r="7" spans="1:9" ht="24" customHeight="1" x14ac:dyDescent="0.3">
      <c r="A7" s="30" t="s">
        <v>41</v>
      </c>
      <c r="B7" s="31">
        <v>46253</v>
      </c>
      <c r="C7" s="32" t="s">
        <v>42</v>
      </c>
      <c r="D7" s="33" t="s">
        <v>24</v>
      </c>
      <c r="E7" s="33">
        <v>0</v>
      </c>
      <c r="F7" s="32" t="s">
        <v>43</v>
      </c>
      <c r="G7" s="34">
        <f>MATCH(B7,BYAN_Analysis!$A$2:$A$651,0)+1</f>
        <v>621</v>
      </c>
      <c r="H7" s="4"/>
      <c r="I7" s="4"/>
    </row>
    <row r="8" spans="1:9" ht="63" customHeight="1" x14ac:dyDescent="0.3">
      <c r="A8" s="30" t="s">
        <v>44</v>
      </c>
      <c r="B8" s="31">
        <v>46286</v>
      </c>
      <c r="C8" s="32" t="s">
        <v>45</v>
      </c>
      <c r="D8" s="33" t="s">
        <v>29</v>
      </c>
      <c r="E8" s="33">
        <v>1</v>
      </c>
      <c r="F8" s="32" t="s">
        <v>94</v>
      </c>
      <c r="G8" s="34">
        <f>MATCH(B8,BYAN_Analysis!$A$2:$A$651,0)+1</f>
        <v>643</v>
      </c>
      <c r="H8" s="4"/>
      <c r="I8" s="4"/>
    </row>
    <row r="9" spans="1:9" ht="32.4" customHeight="1" x14ac:dyDescent="0.3">
      <c r="A9" s="35" t="s">
        <v>46</v>
      </c>
      <c r="B9" s="36">
        <v>46290</v>
      </c>
      <c r="C9" s="37" t="s">
        <v>47</v>
      </c>
      <c r="D9" s="38" t="s">
        <v>29</v>
      </c>
      <c r="E9" s="38">
        <v>0</v>
      </c>
      <c r="F9" s="37" t="s">
        <v>48</v>
      </c>
      <c r="G9" s="39">
        <f>MATCH(B9,BYAN_Analysis!$A$2:$A$651,0)+1</f>
        <v>647</v>
      </c>
      <c r="H9" s="4"/>
      <c r="I9" s="4"/>
    </row>
    <row r="10" spans="1:9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</row>
    <row r="98" spans="1:9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</row>
    <row r="100" spans="1:9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15" sqref="C15"/>
    </sheetView>
  </sheetViews>
  <sheetFormatPr defaultColWidth="14.44140625" defaultRowHeight="15" customHeight="1" x14ac:dyDescent="0.3"/>
  <cols>
    <col min="1" max="1" width="36" customWidth="1"/>
    <col min="2" max="2" width="10" customWidth="1"/>
    <col min="3" max="3" width="80" customWidth="1"/>
    <col min="4" max="26" width="8.6640625" customWidth="1"/>
  </cols>
  <sheetData>
    <row r="1" spans="1:3" ht="15" customHeight="1" x14ac:dyDescent="0.3">
      <c r="A1" s="12" t="s">
        <v>12</v>
      </c>
      <c r="B1" s="12" t="s">
        <v>14</v>
      </c>
      <c r="C1" s="12" t="s">
        <v>15</v>
      </c>
    </row>
    <row r="2" spans="1:3" ht="33.6" customHeight="1" x14ac:dyDescent="0.3">
      <c r="A2" s="16" t="s">
        <v>18</v>
      </c>
      <c r="B2" s="14">
        <v>5</v>
      </c>
      <c r="C2" s="13" t="s">
        <v>95</v>
      </c>
    </row>
    <row r="3" spans="1:3" ht="14.4" x14ac:dyDescent="0.3">
      <c r="A3" s="4"/>
      <c r="B3" s="4"/>
      <c r="C3" s="4"/>
    </row>
    <row r="4" spans="1:3" ht="14.4" x14ac:dyDescent="0.3">
      <c r="A4" s="4"/>
      <c r="B4" s="4"/>
      <c r="C4" s="4"/>
    </row>
    <row r="5" spans="1:3" ht="14.4" x14ac:dyDescent="0.3">
      <c r="A5" s="4"/>
      <c r="B5" s="4"/>
      <c r="C5" s="4"/>
    </row>
    <row r="6" spans="1:3" ht="14.4" x14ac:dyDescent="0.3">
      <c r="A6" s="4"/>
      <c r="B6" s="4"/>
      <c r="C6" s="4"/>
    </row>
    <row r="7" spans="1:3" ht="14.4" x14ac:dyDescent="0.3">
      <c r="A7" s="4"/>
      <c r="B7" s="4"/>
      <c r="C7" s="4"/>
    </row>
    <row r="8" spans="1:3" ht="14.4" x14ac:dyDescent="0.3">
      <c r="A8" s="4"/>
      <c r="B8" s="4"/>
      <c r="C8" s="4"/>
    </row>
    <row r="9" spans="1:3" ht="14.4" x14ac:dyDescent="0.3">
      <c r="A9" s="4"/>
      <c r="B9" s="4"/>
      <c r="C9" s="4"/>
    </row>
    <row r="10" spans="1:3" ht="14.4" x14ac:dyDescent="0.3">
      <c r="A10" s="4"/>
      <c r="B10" s="4"/>
      <c r="C10" s="4"/>
    </row>
    <row r="11" spans="1:3" ht="14.4" x14ac:dyDescent="0.3">
      <c r="A11" s="4"/>
      <c r="B11" s="4"/>
      <c r="C11" s="4"/>
    </row>
    <row r="12" spans="1:3" ht="14.4" x14ac:dyDescent="0.3">
      <c r="A12" s="4"/>
      <c r="B12" s="4"/>
      <c r="C12" s="4"/>
    </row>
    <row r="13" spans="1:3" ht="14.4" x14ac:dyDescent="0.3">
      <c r="A13" s="4"/>
      <c r="B13" s="4"/>
      <c r="C13" s="4"/>
    </row>
    <row r="14" spans="1:3" ht="14.4" x14ac:dyDescent="0.3">
      <c r="A14" s="4"/>
      <c r="B14" s="4"/>
      <c r="C14" s="4"/>
    </row>
    <row r="15" spans="1:3" ht="14.4" x14ac:dyDescent="0.3">
      <c r="A15" s="4"/>
      <c r="B15" s="4"/>
      <c r="C15" s="4"/>
    </row>
    <row r="16" spans="1:3" ht="14.4" x14ac:dyDescent="0.3">
      <c r="A16" s="4"/>
      <c r="B16" s="4"/>
      <c r="C16" s="4"/>
    </row>
    <row r="17" spans="1:3" ht="14.4" x14ac:dyDescent="0.3">
      <c r="A17" s="4"/>
      <c r="B17" s="4"/>
      <c r="C17" s="4"/>
    </row>
    <row r="18" spans="1:3" ht="14.4" x14ac:dyDescent="0.3">
      <c r="A18" s="4"/>
      <c r="B18" s="4"/>
      <c r="C18" s="4"/>
    </row>
    <row r="19" spans="1:3" ht="14.4" x14ac:dyDescent="0.3">
      <c r="A19" s="4"/>
      <c r="B19" s="4"/>
      <c r="C19" s="4"/>
    </row>
    <row r="20" spans="1:3" ht="14.4" x14ac:dyDescent="0.3">
      <c r="A20" s="4"/>
      <c r="B20" s="4"/>
      <c r="C20" s="4"/>
    </row>
    <row r="21" spans="1:3" ht="15.75" customHeight="1" x14ac:dyDescent="0.3">
      <c r="A21" s="4"/>
      <c r="B21" s="4"/>
      <c r="C21" s="4"/>
    </row>
    <row r="22" spans="1:3" ht="15.75" customHeight="1" x14ac:dyDescent="0.3">
      <c r="A22" s="4"/>
      <c r="B22" s="4"/>
      <c r="C22" s="4"/>
    </row>
    <row r="23" spans="1:3" ht="15.75" customHeight="1" x14ac:dyDescent="0.3">
      <c r="A23" s="4"/>
      <c r="B23" s="4"/>
      <c r="C23" s="4"/>
    </row>
    <row r="24" spans="1:3" ht="15.75" customHeight="1" x14ac:dyDescent="0.3">
      <c r="A24" s="4"/>
      <c r="B24" s="4"/>
      <c r="C24" s="4"/>
    </row>
    <row r="25" spans="1:3" ht="15.75" customHeight="1" x14ac:dyDescent="0.3">
      <c r="A25" s="4"/>
      <c r="B25" s="4"/>
      <c r="C25" s="4"/>
    </row>
    <row r="26" spans="1:3" ht="15.75" customHeight="1" x14ac:dyDescent="0.3">
      <c r="A26" s="4"/>
      <c r="B26" s="4"/>
      <c r="C26" s="4"/>
    </row>
    <row r="27" spans="1:3" ht="15.75" customHeight="1" x14ac:dyDescent="0.3">
      <c r="A27" s="4"/>
      <c r="B27" s="4"/>
      <c r="C27" s="4"/>
    </row>
    <row r="28" spans="1:3" ht="15.75" customHeight="1" x14ac:dyDescent="0.3">
      <c r="A28" s="4"/>
      <c r="B28" s="4"/>
      <c r="C28" s="4"/>
    </row>
    <row r="29" spans="1:3" ht="15.75" customHeight="1" x14ac:dyDescent="0.3">
      <c r="A29" s="4"/>
      <c r="B29" s="4"/>
      <c r="C29" s="4"/>
    </row>
    <row r="30" spans="1:3" ht="15.75" customHeight="1" x14ac:dyDescent="0.3">
      <c r="A30" s="4"/>
      <c r="B30" s="4"/>
      <c r="C30" s="4"/>
    </row>
    <row r="31" spans="1:3" ht="15.75" customHeight="1" x14ac:dyDescent="0.3">
      <c r="A31" s="4"/>
      <c r="B31" s="4"/>
      <c r="C31" s="4"/>
    </row>
    <row r="32" spans="1:3" ht="15.75" customHeight="1" x14ac:dyDescent="0.3">
      <c r="A32" s="4"/>
      <c r="B32" s="4"/>
      <c r="C32" s="4"/>
    </row>
    <row r="33" spans="1:3" ht="15.75" customHeight="1" x14ac:dyDescent="0.3">
      <c r="A33" s="4"/>
      <c r="B33" s="4"/>
      <c r="C33" s="4"/>
    </row>
    <row r="34" spans="1:3" ht="15.75" customHeight="1" x14ac:dyDescent="0.3">
      <c r="A34" s="4"/>
      <c r="B34" s="4"/>
      <c r="C34" s="4"/>
    </row>
    <row r="35" spans="1:3" ht="15.75" customHeight="1" x14ac:dyDescent="0.3">
      <c r="A35" s="4"/>
      <c r="B35" s="4"/>
      <c r="C35" s="4"/>
    </row>
    <row r="36" spans="1:3" ht="15.75" customHeight="1" x14ac:dyDescent="0.3">
      <c r="A36" s="4"/>
      <c r="B36" s="4"/>
      <c r="C36" s="4"/>
    </row>
    <row r="37" spans="1:3" ht="15.75" customHeight="1" x14ac:dyDescent="0.3">
      <c r="A37" s="4"/>
      <c r="B37" s="4"/>
      <c r="C37" s="4"/>
    </row>
    <row r="38" spans="1:3" ht="15.75" customHeight="1" x14ac:dyDescent="0.3">
      <c r="A38" s="4"/>
      <c r="B38" s="4"/>
      <c r="C38" s="4"/>
    </row>
    <row r="39" spans="1:3" ht="15.75" customHeight="1" x14ac:dyDescent="0.3">
      <c r="A39" s="4"/>
      <c r="B39" s="4"/>
      <c r="C39" s="4"/>
    </row>
    <row r="40" spans="1:3" ht="15.75" customHeight="1" x14ac:dyDescent="0.3">
      <c r="A40" s="4"/>
      <c r="B40" s="4"/>
      <c r="C40" s="4"/>
    </row>
    <row r="41" spans="1:3" ht="15.75" customHeight="1" x14ac:dyDescent="0.3">
      <c r="A41" s="4"/>
      <c r="B41" s="4"/>
      <c r="C41" s="4"/>
    </row>
    <row r="42" spans="1:3" ht="15.75" customHeight="1" x14ac:dyDescent="0.3">
      <c r="A42" s="4"/>
      <c r="B42" s="4"/>
      <c r="C42" s="4"/>
    </row>
    <row r="43" spans="1:3" ht="15.75" customHeight="1" x14ac:dyDescent="0.3">
      <c r="A43" s="4"/>
      <c r="B43" s="4"/>
      <c r="C43" s="4"/>
    </row>
    <row r="44" spans="1:3" ht="15.75" customHeight="1" x14ac:dyDescent="0.3">
      <c r="A44" s="4"/>
      <c r="B44" s="4"/>
      <c r="C44" s="4"/>
    </row>
    <row r="45" spans="1:3" ht="15.75" customHeight="1" x14ac:dyDescent="0.3">
      <c r="A45" s="4"/>
      <c r="B45" s="4"/>
      <c r="C45" s="4"/>
    </row>
    <row r="46" spans="1:3" ht="15.75" customHeight="1" x14ac:dyDescent="0.3">
      <c r="A46" s="4"/>
      <c r="B46" s="4"/>
      <c r="C46" s="4"/>
    </row>
    <row r="47" spans="1:3" ht="15.75" customHeight="1" x14ac:dyDescent="0.3">
      <c r="A47" s="4"/>
      <c r="B47" s="4"/>
      <c r="C47" s="4"/>
    </row>
    <row r="48" spans="1:3" ht="15.75" customHeight="1" x14ac:dyDescent="0.3">
      <c r="A48" s="4"/>
      <c r="B48" s="4"/>
      <c r="C48" s="4"/>
    </row>
    <row r="49" spans="1:3" ht="15.75" customHeight="1" x14ac:dyDescent="0.3">
      <c r="A49" s="4"/>
      <c r="B49" s="4"/>
      <c r="C49" s="4"/>
    </row>
    <row r="50" spans="1:3" ht="15.75" customHeight="1" x14ac:dyDescent="0.3">
      <c r="A50" s="4"/>
      <c r="B50" s="4"/>
      <c r="C50" s="4"/>
    </row>
    <row r="51" spans="1:3" ht="15.75" customHeight="1" x14ac:dyDescent="0.3">
      <c r="A51" s="4"/>
      <c r="B51" s="4"/>
      <c r="C51" s="4"/>
    </row>
    <row r="52" spans="1:3" ht="15.75" customHeight="1" x14ac:dyDescent="0.3">
      <c r="A52" s="4"/>
      <c r="B52" s="4"/>
      <c r="C52" s="4"/>
    </row>
    <row r="53" spans="1:3" ht="15.75" customHeight="1" x14ac:dyDescent="0.3">
      <c r="A53" s="4"/>
      <c r="B53" s="4"/>
      <c r="C53" s="4"/>
    </row>
    <row r="54" spans="1:3" ht="15.75" customHeight="1" x14ac:dyDescent="0.3">
      <c r="A54" s="4"/>
      <c r="B54" s="4"/>
      <c r="C54" s="4"/>
    </row>
    <row r="55" spans="1:3" ht="15.75" customHeight="1" x14ac:dyDescent="0.3">
      <c r="A55" s="4"/>
      <c r="B55" s="4"/>
      <c r="C55" s="4"/>
    </row>
    <row r="56" spans="1:3" ht="15.75" customHeight="1" x14ac:dyDescent="0.3">
      <c r="A56" s="4"/>
      <c r="B56" s="4"/>
      <c r="C56" s="4"/>
    </row>
    <row r="57" spans="1:3" ht="15.75" customHeight="1" x14ac:dyDescent="0.3">
      <c r="A57" s="4"/>
      <c r="B57" s="4"/>
      <c r="C57" s="4"/>
    </row>
    <row r="58" spans="1:3" ht="15.75" customHeight="1" x14ac:dyDescent="0.3">
      <c r="A58" s="4"/>
      <c r="B58" s="4"/>
      <c r="C58" s="4"/>
    </row>
    <row r="59" spans="1:3" ht="15.75" customHeight="1" x14ac:dyDescent="0.3">
      <c r="A59" s="4"/>
      <c r="B59" s="4"/>
      <c r="C59" s="4"/>
    </row>
    <row r="60" spans="1:3" ht="15.75" customHeight="1" x14ac:dyDescent="0.3">
      <c r="A60" s="4"/>
      <c r="B60" s="4"/>
      <c r="C60" s="4"/>
    </row>
    <row r="61" spans="1:3" ht="15.75" customHeight="1" x14ac:dyDescent="0.3">
      <c r="A61" s="4"/>
      <c r="B61" s="4"/>
      <c r="C61" s="4"/>
    </row>
    <row r="62" spans="1:3" ht="15.75" customHeight="1" x14ac:dyDescent="0.3">
      <c r="A62" s="4"/>
      <c r="B62" s="4"/>
      <c r="C62" s="4"/>
    </row>
    <row r="63" spans="1:3" ht="15.75" customHeight="1" x14ac:dyDescent="0.3">
      <c r="A63" s="4"/>
      <c r="B63" s="4"/>
      <c r="C63" s="4"/>
    </row>
    <row r="64" spans="1:3" ht="15.75" customHeight="1" x14ac:dyDescent="0.3">
      <c r="A64" s="4"/>
      <c r="B64" s="4"/>
      <c r="C64" s="4"/>
    </row>
    <row r="65" spans="1:3" ht="15.75" customHeight="1" x14ac:dyDescent="0.3">
      <c r="A65" s="4"/>
      <c r="B65" s="4"/>
      <c r="C65" s="4"/>
    </row>
    <row r="66" spans="1:3" ht="15.75" customHeight="1" x14ac:dyDescent="0.3">
      <c r="A66" s="4"/>
      <c r="B66" s="4"/>
      <c r="C66" s="4"/>
    </row>
    <row r="67" spans="1:3" ht="15.75" customHeight="1" x14ac:dyDescent="0.3">
      <c r="A67" s="4"/>
      <c r="B67" s="4"/>
      <c r="C67" s="4"/>
    </row>
    <row r="68" spans="1:3" ht="15.75" customHeight="1" x14ac:dyDescent="0.3">
      <c r="A68" s="4"/>
      <c r="B68" s="4"/>
      <c r="C68" s="4"/>
    </row>
    <row r="69" spans="1:3" ht="15.75" customHeight="1" x14ac:dyDescent="0.3">
      <c r="A69" s="4"/>
      <c r="B69" s="4"/>
      <c r="C69" s="4"/>
    </row>
    <row r="70" spans="1:3" ht="15.75" customHeight="1" x14ac:dyDescent="0.3">
      <c r="A70" s="4"/>
      <c r="B70" s="4"/>
      <c r="C70" s="4"/>
    </row>
    <row r="71" spans="1:3" ht="15.75" customHeight="1" x14ac:dyDescent="0.3">
      <c r="A71" s="4"/>
      <c r="B71" s="4"/>
      <c r="C71" s="4"/>
    </row>
    <row r="72" spans="1:3" ht="15.75" customHeight="1" x14ac:dyDescent="0.3">
      <c r="A72" s="4"/>
      <c r="B72" s="4"/>
      <c r="C72" s="4"/>
    </row>
    <row r="73" spans="1:3" ht="15.75" customHeight="1" x14ac:dyDescent="0.3">
      <c r="A73" s="4"/>
      <c r="B73" s="4"/>
      <c r="C73" s="4"/>
    </row>
    <row r="74" spans="1:3" ht="15.75" customHeight="1" x14ac:dyDescent="0.3">
      <c r="A74" s="4"/>
      <c r="B74" s="4"/>
      <c r="C74" s="4"/>
    </row>
    <row r="75" spans="1:3" ht="15.75" customHeight="1" x14ac:dyDescent="0.3">
      <c r="A75" s="4"/>
      <c r="B75" s="4"/>
      <c r="C75" s="4"/>
    </row>
    <row r="76" spans="1:3" ht="15.75" customHeight="1" x14ac:dyDescent="0.3">
      <c r="A76" s="4"/>
      <c r="B76" s="4"/>
      <c r="C76" s="4"/>
    </row>
    <row r="77" spans="1:3" ht="15.75" customHeight="1" x14ac:dyDescent="0.3">
      <c r="A77" s="4"/>
      <c r="B77" s="4"/>
      <c r="C77" s="4"/>
    </row>
    <row r="78" spans="1:3" ht="15.75" customHeight="1" x14ac:dyDescent="0.3">
      <c r="A78" s="4"/>
      <c r="B78" s="4"/>
      <c r="C78" s="4"/>
    </row>
    <row r="79" spans="1:3" ht="15.75" customHeight="1" x14ac:dyDescent="0.3">
      <c r="A79" s="4"/>
      <c r="B79" s="4"/>
      <c r="C79" s="4"/>
    </row>
    <row r="80" spans="1:3" ht="15.75" customHeight="1" x14ac:dyDescent="0.3">
      <c r="A80" s="4"/>
      <c r="B80" s="4"/>
      <c r="C80" s="4"/>
    </row>
    <row r="81" spans="1:3" ht="15.75" customHeight="1" x14ac:dyDescent="0.3">
      <c r="A81" s="4"/>
      <c r="B81" s="4"/>
      <c r="C81" s="4"/>
    </row>
    <row r="82" spans="1:3" ht="15.75" customHeight="1" x14ac:dyDescent="0.3">
      <c r="A82" s="4"/>
      <c r="B82" s="4"/>
      <c r="C82" s="4"/>
    </row>
    <row r="83" spans="1:3" ht="15.75" customHeight="1" x14ac:dyDescent="0.3">
      <c r="A83" s="4"/>
      <c r="B83" s="4"/>
      <c r="C83" s="4"/>
    </row>
    <row r="84" spans="1:3" ht="15.75" customHeight="1" x14ac:dyDescent="0.3">
      <c r="A84" s="4"/>
      <c r="B84" s="4"/>
      <c r="C84" s="4"/>
    </row>
    <row r="85" spans="1:3" ht="15.75" customHeight="1" x14ac:dyDescent="0.3">
      <c r="A85" s="4"/>
      <c r="B85" s="4"/>
      <c r="C85" s="4"/>
    </row>
    <row r="86" spans="1:3" ht="15.75" customHeight="1" x14ac:dyDescent="0.3">
      <c r="A86" s="4"/>
      <c r="B86" s="4"/>
      <c r="C86" s="4"/>
    </row>
    <row r="87" spans="1:3" ht="15.75" customHeight="1" x14ac:dyDescent="0.3">
      <c r="A87" s="4"/>
      <c r="B87" s="4"/>
      <c r="C87" s="4"/>
    </row>
    <row r="88" spans="1:3" ht="15.75" customHeight="1" x14ac:dyDescent="0.3">
      <c r="A88" s="4"/>
      <c r="B88" s="4"/>
      <c r="C88" s="4"/>
    </row>
    <row r="89" spans="1:3" ht="15.75" customHeight="1" x14ac:dyDescent="0.3">
      <c r="A89" s="4"/>
      <c r="B89" s="4"/>
      <c r="C89" s="4"/>
    </row>
    <row r="90" spans="1:3" ht="15.75" customHeight="1" x14ac:dyDescent="0.3">
      <c r="A90" s="4"/>
      <c r="B90" s="4"/>
      <c r="C90" s="4"/>
    </row>
    <row r="91" spans="1:3" ht="15.75" customHeight="1" x14ac:dyDescent="0.3">
      <c r="A91" s="4"/>
      <c r="B91" s="4"/>
      <c r="C91" s="4"/>
    </row>
    <row r="92" spans="1:3" ht="15.75" customHeight="1" x14ac:dyDescent="0.3">
      <c r="A92" s="4"/>
      <c r="B92" s="4"/>
      <c r="C92" s="4"/>
    </row>
    <row r="93" spans="1:3" ht="15.75" customHeight="1" x14ac:dyDescent="0.3">
      <c r="A93" s="4"/>
      <c r="B93" s="4"/>
      <c r="C93" s="4"/>
    </row>
    <row r="94" spans="1:3" ht="15.75" customHeight="1" x14ac:dyDescent="0.3">
      <c r="A94" s="4"/>
      <c r="B94" s="4"/>
      <c r="C94" s="4"/>
    </row>
    <row r="95" spans="1:3" ht="15.75" customHeight="1" x14ac:dyDescent="0.3">
      <c r="A95" s="4"/>
      <c r="B95" s="4"/>
      <c r="C95" s="4"/>
    </row>
    <row r="96" spans="1:3" ht="15.75" customHeight="1" x14ac:dyDescent="0.3">
      <c r="A96" s="4"/>
      <c r="B96" s="4"/>
      <c r="C96" s="4"/>
    </row>
    <row r="97" spans="1:3" ht="15.75" customHeight="1" x14ac:dyDescent="0.3">
      <c r="A97" s="4"/>
      <c r="B97" s="4"/>
      <c r="C97" s="4"/>
    </row>
    <row r="98" spans="1:3" ht="15.75" customHeight="1" x14ac:dyDescent="0.3">
      <c r="A98" s="4"/>
      <c r="B98" s="4"/>
      <c r="C98" s="4"/>
    </row>
    <row r="99" spans="1:3" ht="15.75" customHeight="1" x14ac:dyDescent="0.3">
      <c r="A99" s="4"/>
      <c r="B99" s="4"/>
      <c r="C99" s="4"/>
    </row>
    <row r="100" spans="1:3" ht="15.75" customHeight="1" x14ac:dyDescent="0.3">
      <c r="A100" s="4"/>
      <c r="B100" s="4"/>
      <c r="C100" s="4"/>
    </row>
    <row r="101" spans="1:3" ht="15.75" customHeight="1" x14ac:dyDescent="0.3">
      <c r="A101" s="4"/>
      <c r="B101" s="4"/>
      <c r="C101" s="4"/>
    </row>
    <row r="102" spans="1:3" ht="15.75" customHeight="1" x14ac:dyDescent="0.3">
      <c r="A102" s="4"/>
      <c r="B102" s="4"/>
      <c r="C102" s="4"/>
    </row>
    <row r="103" spans="1:3" ht="15.75" customHeight="1" x14ac:dyDescent="0.3">
      <c r="A103" s="4"/>
      <c r="B103" s="4"/>
      <c r="C103" s="4"/>
    </row>
    <row r="104" spans="1:3" ht="15.75" customHeight="1" x14ac:dyDescent="0.3">
      <c r="A104" s="4"/>
      <c r="B104" s="4"/>
      <c r="C104" s="4"/>
    </row>
    <row r="105" spans="1:3" ht="15.75" customHeight="1" x14ac:dyDescent="0.3">
      <c r="A105" s="4"/>
      <c r="B105" s="4"/>
      <c r="C105" s="4"/>
    </row>
    <row r="106" spans="1:3" ht="15.75" customHeight="1" x14ac:dyDescent="0.3">
      <c r="A106" s="4"/>
      <c r="B106" s="4"/>
      <c r="C106" s="4"/>
    </row>
    <row r="107" spans="1:3" ht="15.75" customHeight="1" x14ac:dyDescent="0.3">
      <c r="A107" s="4"/>
      <c r="B107" s="4"/>
      <c r="C107" s="4"/>
    </row>
    <row r="108" spans="1:3" ht="15.75" customHeight="1" x14ac:dyDescent="0.3">
      <c r="A108" s="4"/>
      <c r="B108" s="4"/>
      <c r="C108" s="4"/>
    </row>
    <row r="109" spans="1:3" ht="15.75" customHeight="1" x14ac:dyDescent="0.3">
      <c r="A109" s="4"/>
      <c r="B109" s="4"/>
      <c r="C109" s="4"/>
    </row>
    <row r="110" spans="1:3" ht="15.75" customHeight="1" x14ac:dyDescent="0.3">
      <c r="A110" s="4"/>
      <c r="B110" s="4"/>
      <c r="C110" s="4"/>
    </row>
    <row r="111" spans="1:3" ht="15.75" customHeight="1" x14ac:dyDescent="0.3">
      <c r="A111" s="4"/>
      <c r="B111" s="4"/>
      <c r="C111" s="4"/>
    </row>
    <row r="112" spans="1:3" ht="15.75" customHeight="1" x14ac:dyDescent="0.3">
      <c r="A112" s="4"/>
      <c r="B112" s="4"/>
      <c r="C112" s="4"/>
    </row>
    <row r="113" spans="1:3" ht="15.75" customHeight="1" x14ac:dyDescent="0.3">
      <c r="A113" s="4"/>
      <c r="B113" s="4"/>
      <c r="C113" s="4"/>
    </row>
    <row r="114" spans="1:3" ht="15.75" customHeight="1" x14ac:dyDescent="0.3">
      <c r="A114" s="4"/>
      <c r="B114" s="4"/>
      <c r="C114" s="4"/>
    </row>
    <row r="115" spans="1:3" ht="15.75" customHeight="1" x14ac:dyDescent="0.3">
      <c r="A115" s="4"/>
      <c r="B115" s="4"/>
      <c r="C115" s="4"/>
    </row>
    <row r="116" spans="1:3" ht="15.75" customHeight="1" x14ac:dyDescent="0.3">
      <c r="A116" s="4"/>
      <c r="B116" s="4"/>
      <c r="C116" s="4"/>
    </row>
    <row r="117" spans="1:3" ht="15.75" customHeight="1" x14ac:dyDescent="0.3">
      <c r="A117" s="4"/>
      <c r="B117" s="4"/>
      <c r="C117" s="4"/>
    </row>
    <row r="118" spans="1:3" ht="15.75" customHeight="1" x14ac:dyDescent="0.3">
      <c r="A118" s="4"/>
      <c r="B118" s="4"/>
      <c r="C118" s="4"/>
    </row>
    <row r="119" spans="1:3" ht="15.75" customHeight="1" x14ac:dyDescent="0.3">
      <c r="A119" s="4"/>
      <c r="B119" s="4"/>
      <c r="C119" s="4"/>
    </row>
    <row r="120" spans="1:3" ht="15.75" customHeight="1" x14ac:dyDescent="0.3">
      <c r="A120" s="4"/>
      <c r="B120" s="4"/>
      <c r="C120" s="4"/>
    </row>
    <row r="121" spans="1:3" ht="15.75" customHeight="1" x14ac:dyDescent="0.3">
      <c r="A121" s="4"/>
      <c r="B121" s="4"/>
      <c r="C121" s="4"/>
    </row>
    <row r="122" spans="1:3" ht="15.75" customHeight="1" x14ac:dyDescent="0.3">
      <c r="A122" s="4"/>
      <c r="B122" s="4"/>
      <c r="C122" s="4"/>
    </row>
    <row r="123" spans="1:3" ht="15.75" customHeight="1" x14ac:dyDescent="0.3">
      <c r="A123" s="4"/>
      <c r="B123" s="4"/>
      <c r="C123" s="4"/>
    </row>
    <row r="124" spans="1:3" ht="15.75" customHeight="1" x14ac:dyDescent="0.3">
      <c r="A124" s="4"/>
      <c r="B124" s="4"/>
      <c r="C124" s="4"/>
    </row>
    <row r="125" spans="1:3" ht="15.75" customHeight="1" x14ac:dyDescent="0.3">
      <c r="A125" s="4"/>
      <c r="B125" s="4"/>
      <c r="C125" s="4"/>
    </row>
    <row r="126" spans="1:3" ht="15.75" customHeight="1" x14ac:dyDescent="0.3">
      <c r="A126" s="4"/>
      <c r="B126" s="4"/>
      <c r="C126" s="4"/>
    </row>
    <row r="127" spans="1:3" ht="15.75" customHeight="1" x14ac:dyDescent="0.3">
      <c r="A127" s="4"/>
      <c r="B127" s="4"/>
      <c r="C127" s="4"/>
    </row>
    <row r="128" spans="1:3" ht="15.75" customHeight="1" x14ac:dyDescent="0.3">
      <c r="A128" s="4"/>
      <c r="B128" s="4"/>
      <c r="C128" s="4"/>
    </row>
    <row r="129" spans="1:3" ht="15.75" customHeight="1" x14ac:dyDescent="0.3">
      <c r="A129" s="4"/>
      <c r="B129" s="4"/>
      <c r="C129" s="4"/>
    </row>
    <row r="130" spans="1:3" ht="15.75" customHeight="1" x14ac:dyDescent="0.3">
      <c r="A130" s="4"/>
      <c r="B130" s="4"/>
      <c r="C130" s="4"/>
    </row>
    <row r="131" spans="1:3" ht="15.75" customHeight="1" x14ac:dyDescent="0.3">
      <c r="A131" s="4"/>
      <c r="B131" s="4"/>
      <c r="C131" s="4"/>
    </row>
    <row r="132" spans="1:3" ht="15.75" customHeight="1" x14ac:dyDescent="0.3">
      <c r="A132" s="4"/>
      <c r="B132" s="4"/>
      <c r="C132" s="4"/>
    </row>
    <row r="133" spans="1:3" ht="15.75" customHeight="1" x14ac:dyDescent="0.3">
      <c r="A133" s="4"/>
      <c r="B133" s="4"/>
      <c r="C133" s="4"/>
    </row>
    <row r="134" spans="1:3" ht="15.75" customHeight="1" x14ac:dyDescent="0.3">
      <c r="A134" s="4"/>
      <c r="B134" s="4"/>
      <c r="C134" s="4"/>
    </row>
    <row r="135" spans="1:3" ht="15.75" customHeight="1" x14ac:dyDescent="0.3">
      <c r="A135" s="4"/>
      <c r="B135" s="4"/>
      <c r="C135" s="4"/>
    </row>
    <row r="136" spans="1:3" ht="15.75" customHeight="1" x14ac:dyDescent="0.3">
      <c r="A136" s="4"/>
      <c r="B136" s="4"/>
      <c r="C136" s="4"/>
    </row>
    <row r="137" spans="1:3" ht="15.75" customHeight="1" x14ac:dyDescent="0.3">
      <c r="A137" s="4"/>
      <c r="B137" s="4"/>
      <c r="C137" s="4"/>
    </row>
    <row r="138" spans="1:3" ht="15.75" customHeight="1" x14ac:dyDescent="0.3">
      <c r="A138" s="4"/>
      <c r="B138" s="4"/>
      <c r="C138" s="4"/>
    </row>
    <row r="139" spans="1:3" ht="15.75" customHeight="1" x14ac:dyDescent="0.3">
      <c r="A139" s="4"/>
      <c r="B139" s="4"/>
      <c r="C139" s="4"/>
    </row>
    <row r="140" spans="1:3" ht="15.75" customHeight="1" x14ac:dyDescent="0.3">
      <c r="A140" s="4"/>
      <c r="B140" s="4"/>
      <c r="C140" s="4"/>
    </row>
    <row r="141" spans="1:3" ht="15.75" customHeight="1" x14ac:dyDescent="0.3">
      <c r="A141" s="4"/>
      <c r="B141" s="4"/>
      <c r="C141" s="4"/>
    </row>
    <row r="142" spans="1:3" ht="15.75" customHeight="1" x14ac:dyDescent="0.3">
      <c r="A142" s="4"/>
      <c r="B142" s="4"/>
      <c r="C142" s="4"/>
    </row>
    <row r="143" spans="1:3" ht="15.75" customHeight="1" x14ac:dyDescent="0.3">
      <c r="A143" s="4"/>
      <c r="B143" s="4"/>
      <c r="C143" s="4"/>
    </row>
    <row r="144" spans="1:3" ht="15.75" customHeight="1" x14ac:dyDescent="0.3">
      <c r="A144" s="4"/>
      <c r="B144" s="4"/>
      <c r="C144" s="4"/>
    </row>
    <row r="145" spans="1:3" ht="15.75" customHeight="1" x14ac:dyDescent="0.3">
      <c r="A145" s="4"/>
      <c r="B145" s="4"/>
      <c r="C145" s="4"/>
    </row>
    <row r="146" spans="1:3" ht="15.75" customHeight="1" x14ac:dyDescent="0.3">
      <c r="A146" s="4"/>
      <c r="B146" s="4"/>
      <c r="C146" s="4"/>
    </row>
    <row r="147" spans="1:3" ht="15.75" customHeight="1" x14ac:dyDescent="0.3">
      <c r="A147" s="4"/>
      <c r="B147" s="4"/>
      <c r="C147" s="4"/>
    </row>
    <row r="148" spans="1:3" ht="15.75" customHeight="1" x14ac:dyDescent="0.3">
      <c r="A148" s="4"/>
      <c r="B148" s="4"/>
      <c r="C148" s="4"/>
    </row>
    <row r="149" spans="1:3" ht="15.75" customHeight="1" x14ac:dyDescent="0.3">
      <c r="A149" s="4"/>
      <c r="B149" s="4"/>
      <c r="C149" s="4"/>
    </row>
    <row r="150" spans="1:3" ht="15.75" customHeight="1" x14ac:dyDescent="0.3">
      <c r="A150" s="4"/>
      <c r="B150" s="4"/>
      <c r="C150" s="4"/>
    </row>
    <row r="151" spans="1:3" ht="15.75" customHeight="1" x14ac:dyDescent="0.3">
      <c r="A151" s="4"/>
      <c r="B151" s="4"/>
      <c r="C151" s="4"/>
    </row>
    <row r="152" spans="1:3" ht="15.75" customHeight="1" x14ac:dyDescent="0.3">
      <c r="A152" s="4"/>
      <c r="B152" s="4"/>
      <c r="C152" s="4"/>
    </row>
    <row r="153" spans="1:3" ht="15.75" customHeight="1" x14ac:dyDescent="0.3">
      <c r="A153" s="4"/>
      <c r="B153" s="4"/>
      <c r="C153" s="4"/>
    </row>
    <row r="154" spans="1:3" ht="15.75" customHeight="1" x14ac:dyDescent="0.3">
      <c r="A154" s="4"/>
      <c r="B154" s="4"/>
      <c r="C154" s="4"/>
    </row>
    <row r="155" spans="1:3" ht="15.75" customHeight="1" x14ac:dyDescent="0.3">
      <c r="A155" s="4"/>
      <c r="B155" s="4"/>
      <c r="C155" s="4"/>
    </row>
    <row r="156" spans="1:3" ht="15.75" customHeight="1" x14ac:dyDescent="0.3">
      <c r="A156" s="4"/>
      <c r="B156" s="4"/>
      <c r="C156" s="4"/>
    </row>
    <row r="157" spans="1:3" ht="15.75" customHeight="1" x14ac:dyDescent="0.3">
      <c r="A157" s="4"/>
      <c r="B157" s="4"/>
      <c r="C157" s="4"/>
    </row>
    <row r="158" spans="1:3" ht="15.75" customHeight="1" x14ac:dyDescent="0.3">
      <c r="A158" s="4"/>
      <c r="B158" s="4"/>
      <c r="C158" s="4"/>
    </row>
    <row r="159" spans="1:3" ht="15.75" customHeight="1" x14ac:dyDescent="0.3">
      <c r="A159" s="4"/>
      <c r="B159" s="4"/>
      <c r="C159" s="4"/>
    </row>
    <row r="160" spans="1:3" ht="15.75" customHeight="1" x14ac:dyDescent="0.3">
      <c r="A160" s="4"/>
      <c r="B160" s="4"/>
      <c r="C160" s="4"/>
    </row>
    <row r="161" spans="1:3" ht="15.75" customHeight="1" x14ac:dyDescent="0.3">
      <c r="A161" s="4"/>
      <c r="B161" s="4"/>
      <c r="C161" s="4"/>
    </row>
    <row r="162" spans="1:3" ht="15.75" customHeight="1" x14ac:dyDescent="0.3">
      <c r="A162" s="4"/>
      <c r="B162" s="4"/>
      <c r="C162" s="4"/>
    </row>
    <row r="163" spans="1:3" ht="15.75" customHeight="1" x14ac:dyDescent="0.3">
      <c r="A163" s="4"/>
      <c r="B163" s="4"/>
      <c r="C163" s="4"/>
    </row>
    <row r="164" spans="1:3" ht="15.75" customHeight="1" x14ac:dyDescent="0.3">
      <c r="A164" s="4"/>
      <c r="B164" s="4"/>
      <c r="C164" s="4"/>
    </row>
    <row r="165" spans="1:3" ht="15.75" customHeight="1" x14ac:dyDescent="0.3">
      <c r="A165" s="4"/>
      <c r="B165" s="4"/>
      <c r="C165" s="4"/>
    </row>
    <row r="166" spans="1:3" ht="15.75" customHeight="1" x14ac:dyDescent="0.3">
      <c r="A166" s="4"/>
      <c r="B166" s="4"/>
      <c r="C166" s="4"/>
    </row>
    <row r="167" spans="1:3" ht="15.75" customHeight="1" x14ac:dyDescent="0.3">
      <c r="A167" s="4"/>
      <c r="B167" s="4"/>
      <c r="C167" s="4"/>
    </row>
    <row r="168" spans="1:3" ht="15.75" customHeight="1" x14ac:dyDescent="0.3">
      <c r="A168" s="4"/>
      <c r="B168" s="4"/>
      <c r="C168" s="4"/>
    </row>
    <row r="169" spans="1:3" ht="15.75" customHeight="1" x14ac:dyDescent="0.3">
      <c r="A169" s="4"/>
      <c r="B169" s="4"/>
      <c r="C169" s="4"/>
    </row>
    <row r="170" spans="1:3" ht="15.75" customHeight="1" x14ac:dyDescent="0.3">
      <c r="A170" s="4"/>
      <c r="B170" s="4"/>
      <c r="C170" s="4"/>
    </row>
    <row r="171" spans="1:3" ht="15.75" customHeight="1" x14ac:dyDescent="0.3">
      <c r="A171" s="4"/>
      <c r="B171" s="4"/>
      <c r="C171" s="4"/>
    </row>
    <row r="172" spans="1:3" ht="15.75" customHeight="1" x14ac:dyDescent="0.3">
      <c r="A172" s="4"/>
      <c r="B172" s="4"/>
      <c r="C172" s="4"/>
    </row>
    <row r="173" spans="1:3" ht="15.75" customHeight="1" x14ac:dyDescent="0.3">
      <c r="A173" s="4"/>
      <c r="B173" s="4"/>
      <c r="C173" s="4"/>
    </row>
    <row r="174" spans="1:3" ht="15.75" customHeight="1" x14ac:dyDescent="0.3">
      <c r="A174" s="4"/>
      <c r="B174" s="4"/>
      <c r="C174" s="4"/>
    </row>
    <row r="175" spans="1:3" ht="15.75" customHeight="1" x14ac:dyDescent="0.3">
      <c r="A175" s="4"/>
      <c r="B175" s="4"/>
      <c r="C175" s="4"/>
    </row>
    <row r="176" spans="1:3" ht="15.75" customHeight="1" x14ac:dyDescent="0.3">
      <c r="A176" s="4"/>
      <c r="B176" s="4"/>
      <c r="C176" s="4"/>
    </row>
    <row r="177" spans="1:3" ht="15.75" customHeight="1" x14ac:dyDescent="0.3">
      <c r="A177" s="4"/>
      <c r="B177" s="4"/>
      <c r="C177" s="4"/>
    </row>
    <row r="178" spans="1:3" ht="15.75" customHeight="1" x14ac:dyDescent="0.3">
      <c r="A178" s="4"/>
      <c r="B178" s="4"/>
      <c r="C178" s="4"/>
    </row>
    <row r="179" spans="1:3" ht="15.75" customHeight="1" x14ac:dyDescent="0.3">
      <c r="A179" s="4"/>
      <c r="B179" s="4"/>
      <c r="C179" s="4"/>
    </row>
    <row r="180" spans="1:3" ht="15.75" customHeight="1" x14ac:dyDescent="0.3">
      <c r="A180" s="4"/>
      <c r="B180" s="4"/>
      <c r="C180" s="4"/>
    </row>
    <row r="181" spans="1:3" ht="15.75" customHeight="1" x14ac:dyDescent="0.3">
      <c r="A181" s="4"/>
      <c r="B181" s="4"/>
      <c r="C181" s="4"/>
    </row>
    <row r="182" spans="1:3" ht="15.75" customHeight="1" x14ac:dyDescent="0.3">
      <c r="A182" s="4"/>
      <c r="B182" s="4"/>
      <c r="C182" s="4"/>
    </row>
    <row r="183" spans="1:3" ht="15.75" customHeight="1" x14ac:dyDescent="0.3">
      <c r="A183" s="4"/>
      <c r="B183" s="4"/>
      <c r="C183" s="4"/>
    </row>
    <row r="184" spans="1:3" ht="15.75" customHeight="1" x14ac:dyDescent="0.3">
      <c r="A184" s="4"/>
      <c r="B184" s="4"/>
      <c r="C184" s="4"/>
    </row>
    <row r="185" spans="1:3" ht="15.75" customHeight="1" x14ac:dyDescent="0.3">
      <c r="A185" s="4"/>
      <c r="B185" s="4"/>
      <c r="C185" s="4"/>
    </row>
    <row r="186" spans="1:3" ht="15.75" customHeight="1" x14ac:dyDescent="0.3">
      <c r="A186" s="4"/>
      <c r="B186" s="4"/>
      <c r="C186" s="4"/>
    </row>
    <row r="187" spans="1:3" ht="15.75" customHeight="1" x14ac:dyDescent="0.3">
      <c r="A187" s="4"/>
      <c r="B187" s="4"/>
      <c r="C187" s="4"/>
    </row>
    <row r="188" spans="1:3" ht="15.75" customHeight="1" x14ac:dyDescent="0.3">
      <c r="A188" s="4"/>
      <c r="B188" s="4"/>
      <c r="C188" s="4"/>
    </row>
    <row r="189" spans="1:3" ht="15.75" customHeight="1" x14ac:dyDescent="0.3">
      <c r="A189" s="4"/>
      <c r="B189" s="4"/>
      <c r="C189" s="4"/>
    </row>
    <row r="190" spans="1:3" ht="15.75" customHeight="1" x14ac:dyDescent="0.3">
      <c r="A190" s="4"/>
      <c r="B190" s="4"/>
      <c r="C190" s="4"/>
    </row>
    <row r="191" spans="1:3" ht="15.75" customHeight="1" x14ac:dyDescent="0.3">
      <c r="A191" s="4"/>
      <c r="B191" s="4"/>
      <c r="C191" s="4"/>
    </row>
    <row r="192" spans="1:3" ht="15.75" customHeight="1" x14ac:dyDescent="0.3">
      <c r="A192" s="4"/>
      <c r="B192" s="4"/>
      <c r="C192" s="4"/>
    </row>
    <row r="193" spans="1:3" ht="15.75" customHeight="1" x14ac:dyDescent="0.3">
      <c r="A193" s="4"/>
      <c r="B193" s="4"/>
      <c r="C193" s="4"/>
    </row>
    <row r="194" spans="1:3" ht="15.75" customHeight="1" x14ac:dyDescent="0.3">
      <c r="A194" s="4"/>
      <c r="B194" s="4"/>
      <c r="C194" s="4"/>
    </row>
    <row r="195" spans="1:3" ht="15.75" customHeight="1" x14ac:dyDescent="0.3">
      <c r="A195" s="4"/>
      <c r="B195" s="4"/>
      <c r="C195" s="4"/>
    </row>
    <row r="196" spans="1:3" ht="15.75" customHeight="1" x14ac:dyDescent="0.3">
      <c r="A196" s="4"/>
      <c r="B196" s="4"/>
      <c r="C196" s="4"/>
    </row>
    <row r="197" spans="1:3" ht="15.75" customHeight="1" x14ac:dyDescent="0.3">
      <c r="A197" s="4"/>
      <c r="B197" s="4"/>
      <c r="C197" s="4"/>
    </row>
    <row r="198" spans="1:3" ht="15.75" customHeight="1" x14ac:dyDescent="0.3">
      <c r="A198" s="4"/>
      <c r="B198" s="4"/>
      <c r="C198" s="4"/>
    </row>
    <row r="199" spans="1:3" ht="15.75" customHeight="1" x14ac:dyDescent="0.3">
      <c r="A199" s="4"/>
      <c r="B199" s="4"/>
      <c r="C199" s="4"/>
    </row>
    <row r="200" spans="1:3" ht="15.75" customHeight="1" x14ac:dyDescent="0.3">
      <c r="A200" s="4"/>
      <c r="B200" s="4"/>
      <c r="C200" s="4"/>
    </row>
    <row r="201" spans="1:3" ht="15.75" customHeight="1" x14ac:dyDescent="0.3">
      <c r="A201" s="4"/>
      <c r="B201" s="4"/>
      <c r="C201" s="4"/>
    </row>
    <row r="202" spans="1:3" ht="15.75" customHeight="1" x14ac:dyDescent="0.3">
      <c r="A202" s="4"/>
      <c r="B202" s="4"/>
      <c r="C202" s="4"/>
    </row>
    <row r="203" spans="1:3" ht="15.75" customHeight="1" x14ac:dyDescent="0.3">
      <c r="A203" s="4"/>
      <c r="B203" s="4"/>
      <c r="C203" s="4"/>
    </row>
    <row r="204" spans="1:3" ht="15.75" customHeight="1" x14ac:dyDescent="0.3">
      <c r="A204" s="4"/>
      <c r="B204" s="4"/>
      <c r="C204" s="4"/>
    </row>
    <row r="205" spans="1:3" ht="15.75" customHeight="1" x14ac:dyDescent="0.3">
      <c r="A205" s="4"/>
      <c r="B205" s="4"/>
      <c r="C205" s="4"/>
    </row>
    <row r="206" spans="1:3" ht="15.75" customHeight="1" x14ac:dyDescent="0.3">
      <c r="A206" s="4"/>
      <c r="B206" s="4"/>
      <c r="C206" s="4"/>
    </row>
    <row r="207" spans="1:3" ht="15.75" customHeight="1" x14ac:dyDescent="0.3">
      <c r="A207" s="4"/>
      <c r="B207" s="4"/>
      <c r="C207" s="4"/>
    </row>
    <row r="208" spans="1:3" ht="15.75" customHeight="1" x14ac:dyDescent="0.3">
      <c r="A208" s="4"/>
      <c r="B208" s="4"/>
      <c r="C208" s="4"/>
    </row>
    <row r="209" spans="1:3" ht="15.75" customHeight="1" x14ac:dyDescent="0.3">
      <c r="A209" s="4"/>
      <c r="B209" s="4"/>
      <c r="C209" s="4"/>
    </row>
    <row r="210" spans="1:3" ht="15.75" customHeight="1" x14ac:dyDescent="0.3">
      <c r="A210" s="4"/>
      <c r="B210" s="4"/>
      <c r="C210" s="4"/>
    </row>
    <row r="211" spans="1:3" ht="15.75" customHeight="1" x14ac:dyDescent="0.3">
      <c r="A211" s="4"/>
      <c r="B211" s="4"/>
      <c r="C211" s="4"/>
    </row>
    <row r="212" spans="1:3" ht="15.75" customHeight="1" x14ac:dyDescent="0.3">
      <c r="A212" s="4"/>
      <c r="B212" s="4"/>
      <c r="C212" s="4"/>
    </row>
    <row r="213" spans="1:3" ht="15.75" customHeight="1" x14ac:dyDescent="0.3">
      <c r="A213" s="4"/>
      <c r="B213" s="4"/>
      <c r="C213" s="4"/>
    </row>
    <row r="214" spans="1:3" ht="15.75" customHeight="1" x14ac:dyDescent="0.3">
      <c r="A214" s="4"/>
      <c r="B214" s="4"/>
      <c r="C214" s="4"/>
    </row>
    <row r="215" spans="1:3" ht="15.75" customHeight="1" x14ac:dyDescent="0.3">
      <c r="A215" s="4"/>
      <c r="B215" s="4"/>
      <c r="C215" s="4"/>
    </row>
    <row r="216" spans="1:3" ht="15.75" customHeight="1" x14ac:dyDescent="0.3">
      <c r="A216" s="4"/>
      <c r="B216" s="4"/>
      <c r="C216" s="4"/>
    </row>
    <row r="217" spans="1:3" ht="15.75" customHeight="1" x14ac:dyDescent="0.3">
      <c r="A217" s="4"/>
      <c r="B217" s="4"/>
      <c r="C217" s="4"/>
    </row>
    <row r="218" spans="1:3" ht="15.75" customHeight="1" x14ac:dyDescent="0.3">
      <c r="A218" s="4"/>
      <c r="B218" s="4"/>
      <c r="C218" s="4"/>
    </row>
    <row r="219" spans="1:3" ht="15.75" customHeight="1" x14ac:dyDescent="0.3">
      <c r="A219" s="4"/>
      <c r="B219" s="4"/>
      <c r="C219" s="4"/>
    </row>
    <row r="220" spans="1:3" ht="15.75" customHeight="1" x14ac:dyDescent="0.3">
      <c r="A220" s="4"/>
      <c r="B220" s="4"/>
      <c r="C220" s="4"/>
    </row>
    <row r="221" spans="1:3" ht="15.75" customHeight="1" x14ac:dyDescent="0.3">
      <c r="A221" s="4"/>
      <c r="B221" s="4"/>
      <c r="C221" s="4"/>
    </row>
    <row r="222" spans="1:3" ht="15.75" customHeight="1" x14ac:dyDescent="0.3">
      <c r="A222" s="4"/>
      <c r="B222" s="4"/>
      <c r="C222" s="4"/>
    </row>
    <row r="223" spans="1:3" ht="15.75" customHeight="1" x14ac:dyDescent="0.3">
      <c r="A223" s="4"/>
      <c r="B223" s="4"/>
      <c r="C223" s="4"/>
    </row>
    <row r="224" spans="1:3" ht="15.75" customHeight="1" x14ac:dyDescent="0.3">
      <c r="A224" s="4"/>
      <c r="B224" s="4"/>
      <c r="C224" s="4"/>
    </row>
    <row r="225" spans="1:3" ht="15.75" customHeight="1" x14ac:dyDescent="0.3">
      <c r="A225" s="4"/>
      <c r="B225" s="4"/>
      <c r="C225" s="4"/>
    </row>
    <row r="226" spans="1:3" ht="15.75" customHeight="1" x14ac:dyDescent="0.3">
      <c r="A226" s="4"/>
      <c r="B226" s="4"/>
      <c r="C226" s="4"/>
    </row>
    <row r="227" spans="1:3" ht="15.75" customHeight="1" x14ac:dyDescent="0.3">
      <c r="A227" s="4"/>
      <c r="B227" s="4"/>
      <c r="C227" s="4"/>
    </row>
    <row r="228" spans="1:3" ht="15.75" customHeight="1" x14ac:dyDescent="0.3">
      <c r="A228" s="4"/>
      <c r="B228" s="4"/>
      <c r="C228" s="4"/>
    </row>
    <row r="229" spans="1:3" ht="15.75" customHeight="1" x14ac:dyDescent="0.3">
      <c r="A229" s="4"/>
      <c r="B229" s="4"/>
      <c r="C229" s="4"/>
    </row>
    <row r="230" spans="1:3" ht="15.75" customHeight="1" x14ac:dyDescent="0.3">
      <c r="A230" s="4"/>
      <c r="B230" s="4"/>
      <c r="C230" s="4"/>
    </row>
    <row r="231" spans="1:3" ht="15.75" customHeight="1" x14ac:dyDescent="0.3">
      <c r="A231" s="4"/>
      <c r="B231" s="4"/>
      <c r="C231" s="4"/>
    </row>
    <row r="232" spans="1:3" ht="15.75" customHeight="1" x14ac:dyDescent="0.3">
      <c r="A232" s="4"/>
      <c r="B232" s="4"/>
      <c r="C232" s="4"/>
    </row>
    <row r="233" spans="1:3" ht="15.75" customHeight="1" x14ac:dyDescent="0.3">
      <c r="A233" s="4"/>
      <c r="B233" s="4"/>
      <c r="C233" s="4"/>
    </row>
    <row r="234" spans="1:3" ht="15.75" customHeight="1" x14ac:dyDescent="0.3">
      <c r="A234" s="4"/>
      <c r="B234" s="4"/>
      <c r="C234" s="4"/>
    </row>
    <row r="235" spans="1:3" ht="15.75" customHeight="1" x14ac:dyDescent="0.3">
      <c r="A235" s="4"/>
      <c r="B235" s="4"/>
      <c r="C235" s="4"/>
    </row>
    <row r="236" spans="1:3" ht="15.75" customHeight="1" x14ac:dyDescent="0.3">
      <c r="A236" s="4"/>
      <c r="B236" s="4"/>
      <c r="C236" s="4"/>
    </row>
    <row r="237" spans="1:3" ht="15.75" customHeight="1" x14ac:dyDescent="0.3">
      <c r="A237" s="4"/>
      <c r="B237" s="4"/>
      <c r="C237" s="4"/>
    </row>
    <row r="238" spans="1:3" ht="15.75" customHeight="1" x14ac:dyDescent="0.3">
      <c r="A238" s="4"/>
      <c r="B238" s="4"/>
      <c r="C238" s="4"/>
    </row>
    <row r="239" spans="1:3" ht="15.75" customHeight="1" x14ac:dyDescent="0.3">
      <c r="A239" s="4"/>
      <c r="B239" s="4"/>
      <c r="C239" s="4"/>
    </row>
    <row r="240" spans="1:3" ht="15.75" customHeight="1" x14ac:dyDescent="0.3">
      <c r="A240" s="4"/>
      <c r="B240" s="4"/>
      <c r="C240" s="4"/>
    </row>
    <row r="241" spans="1:3" ht="15.75" customHeight="1" x14ac:dyDescent="0.3">
      <c r="A241" s="4"/>
      <c r="B241" s="4"/>
      <c r="C241" s="4"/>
    </row>
    <row r="242" spans="1:3" ht="15.75" customHeight="1" x14ac:dyDescent="0.3">
      <c r="A242" s="4"/>
      <c r="B242" s="4"/>
      <c r="C242" s="4"/>
    </row>
    <row r="243" spans="1:3" ht="15.75" customHeight="1" x14ac:dyDescent="0.3">
      <c r="A243" s="4"/>
      <c r="B243" s="4"/>
      <c r="C243" s="4"/>
    </row>
    <row r="244" spans="1:3" ht="15.75" customHeight="1" x14ac:dyDescent="0.3">
      <c r="A244" s="4"/>
      <c r="B244" s="4"/>
      <c r="C244" s="4"/>
    </row>
    <row r="245" spans="1:3" ht="15.75" customHeight="1" x14ac:dyDescent="0.3">
      <c r="A245" s="4"/>
      <c r="B245" s="4"/>
      <c r="C245" s="4"/>
    </row>
    <row r="246" spans="1:3" ht="15.75" customHeight="1" x14ac:dyDescent="0.3">
      <c r="A246" s="4"/>
      <c r="B246" s="4"/>
      <c r="C246" s="4"/>
    </row>
    <row r="247" spans="1:3" ht="15.75" customHeight="1" x14ac:dyDescent="0.3">
      <c r="A247" s="4"/>
      <c r="B247" s="4"/>
      <c r="C247" s="4"/>
    </row>
    <row r="248" spans="1:3" ht="15.75" customHeight="1" x14ac:dyDescent="0.3">
      <c r="A248" s="4"/>
      <c r="B248" s="4"/>
      <c r="C248" s="4"/>
    </row>
    <row r="249" spans="1:3" ht="15.75" customHeight="1" x14ac:dyDescent="0.3">
      <c r="A249" s="4"/>
      <c r="B249" s="4"/>
      <c r="C249" s="4"/>
    </row>
    <row r="250" spans="1:3" ht="15.75" customHeight="1" x14ac:dyDescent="0.3">
      <c r="A250" s="4"/>
      <c r="B250" s="4"/>
      <c r="C250" s="4"/>
    </row>
    <row r="251" spans="1:3" ht="15.75" customHeight="1" x14ac:dyDescent="0.3">
      <c r="A251" s="4"/>
      <c r="B251" s="4"/>
      <c r="C251" s="4"/>
    </row>
    <row r="252" spans="1:3" ht="15.75" customHeight="1" x14ac:dyDescent="0.3">
      <c r="A252" s="4"/>
      <c r="B252" s="4"/>
      <c r="C252" s="4"/>
    </row>
    <row r="253" spans="1:3" ht="15.75" customHeight="1" x14ac:dyDescent="0.3">
      <c r="A253" s="4"/>
      <c r="B253" s="4"/>
      <c r="C253" s="4"/>
    </row>
    <row r="254" spans="1:3" ht="15.75" customHeight="1" x14ac:dyDescent="0.3">
      <c r="A254" s="4"/>
      <c r="B254" s="4"/>
      <c r="C254" s="4"/>
    </row>
    <row r="255" spans="1:3" ht="15.75" customHeight="1" x14ac:dyDescent="0.3">
      <c r="A255" s="4"/>
      <c r="B255" s="4"/>
      <c r="C255" s="4"/>
    </row>
    <row r="256" spans="1:3" ht="15.75" customHeight="1" x14ac:dyDescent="0.3">
      <c r="A256" s="4"/>
      <c r="B256" s="4"/>
      <c r="C256" s="4"/>
    </row>
    <row r="257" spans="1:3" ht="15.75" customHeight="1" x14ac:dyDescent="0.3">
      <c r="A257" s="4"/>
      <c r="B257" s="4"/>
      <c r="C257" s="4"/>
    </row>
    <row r="258" spans="1:3" ht="15.75" customHeight="1" x14ac:dyDescent="0.3">
      <c r="A258" s="4"/>
      <c r="B258" s="4"/>
      <c r="C258" s="4"/>
    </row>
    <row r="259" spans="1:3" ht="15.75" customHeight="1" x14ac:dyDescent="0.3">
      <c r="A259" s="4"/>
      <c r="B259" s="4"/>
      <c r="C259" s="4"/>
    </row>
    <row r="260" spans="1:3" ht="15.75" customHeight="1" x14ac:dyDescent="0.3">
      <c r="A260" s="4"/>
      <c r="B260" s="4"/>
      <c r="C260" s="4"/>
    </row>
    <row r="261" spans="1:3" ht="15.75" customHeight="1" x14ac:dyDescent="0.3">
      <c r="A261" s="4"/>
      <c r="B261" s="4"/>
      <c r="C261" s="4"/>
    </row>
    <row r="262" spans="1:3" ht="15.75" customHeight="1" x14ac:dyDescent="0.3">
      <c r="A262" s="4"/>
      <c r="B262" s="4"/>
      <c r="C262" s="4"/>
    </row>
    <row r="263" spans="1:3" ht="15.75" customHeight="1" x14ac:dyDescent="0.3">
      <c r="A263" s="4"/>
      <c r="B263" s="4"/>
      <c r="C263" s="4"/>
    </row>
    <row r="264" spans="1:3" ht="15.75" customHeight="1" x14ac:dyDescent="0.3">
      <c r="A264" s="4"/>
      <c r="B264" s="4"/>
      <c r="C264" s="4"/>
    </row>
    <row r="265" spans="1:3" ht="15.75" customHeight="1" x14ac:dyDescent="0.3">
      <c r="A265" s="4"/>
      <c r="B265" s="4"/>
      <c r="C265" s="4"/>
    </row>
    <row r="266" spans="1:3" ht="15.75" customHeight="1" x14ac:dyDescent="0.3">
      <c r="A266" s="4"/>
      <c r="B266" s="4"/>
      <c r="C266" s="4"/>
    </row>
    <row r="267" spans="1:3" ht="15.75" customHeight="1" x14ac:dyDescent="0.3">
      <c r="A267" s="4"/>
      <c r="B267" s="4"/>
      <c r="C267" s="4"/>
    </row>
    <row r="268" spans="1:3" ht="15.75" customHeight="1" x14ac:dyDescent="0.3">
      <c r="A268" s="4"/>
      <c r="B268" s="4"/>
      <c r="C268" s="4"/>
    </row>
    <row r="269" spans="1:3" ht="15.75" customHeight="1" x14ac:dyDescent="0.3">
      <c r="A269" s="4"/>
      <c r="B269" s="4"/>
      <c r="C269" s="4"/>
    </row>
    <row r="270" spans="1:3" ht="15.75" customHeight="1" x14ac:dyDescent="0.3">
      <c r="A270" s="4"/>
      <c r="B270" s="4"/>
      <c r="C270" s="4"/>
    </row>
    <row r="271" spans="1:3" ht="15.75" customHeight="1" x14ac:dyDescent="0.3">
      <c r="A271" s="4"/>
      <c r="B271" s="4"/>
      <c r="C271" s="4"/>
    </row>
    <row r="272" spans="1:3" ht="15.75" customHeight="1" x14ac:dyDescent="0.3">
      <c r="A272" s="4"/>
      <c r="B272" s="4"/>
      <c r="C272" s="4"/>
    </row>
    <row r="273" spans="1:3" ht="15.75" customHeight="1" x14ac:dyDescent="0.3">
      <c r="A273" s="4"/>
      <c r="B273" s="4"/>
      <c r="C273" s="4"/>
    </row>
    <row r="274" spans="1:3" ht="15.75" customHeight="1" x14ac:dyDescent="0.3">
      <c r="A274" s="4"/>
      <c r="B274" s="4"/>
      <c r="C274" s="4"/>
    </row>
    <row r="275" spans="1:3" ht="15.75" customHeight="1" x14ac:dyDescent="0.3">
      <c r="A275" s="4"/>
      <c r="B275" s="4"/>
      <c r="C275" s="4"/>
    </row>
    <row r="276" spans="1:3" ht="15.75" customHeight="1" x14ac:dyDescent="0.3">
      <c r="A276" s="4"/>
      <c r="B276" s="4"/>
      <c r="C276" s="4"/>
    </row>
    <row r="277" spans="1:3" ht="15.75" customHeight="1" x14ac:dyDescent="0.3">
      <c r="A277" s="4"/>
      <c r="B277" s="4"/>
      <c r="C277" s="4"/>
    </row>
    <row r="278" spans="1:3" ht="15.75" customHeight="1" x14ac:dyDescent="0.3">
      <c r="A278" s="4"/>
      <c r="B278" s="4"/>
      <c r="C278" s="4"/>
    </row>
    <row r="279" spans="1:3" ht="15.75" customHeight="1" x14ac:dyDescent="0.3">
      <c r="A279" s="4"/>
      <c r="B279" s="4"/>
      <c r="C279" s="4"/>
    </row>
    <row r="280" spans="1:3" ht="15.75" customHeight="1" x14ac:dyDescent="0.3">
      <c r="A280" s="4"/>
      <c r="B280" s="4"/>
      <c r="C280" s="4"/>
    </row>
    <row r="281" spans="1:3" ht="15.75" customHeight="1" x14ac:dyDescent="0.3">
      <c r="A281" s="4"/>
      <c r="B281" s="4"/>
      <c r="C281" s="4"/>
    </row>
    <row r="282" spans="1:3" ht="15.75" customHeight="1" x14ac:dyDescent="0.3">
      <c r="A282" s="4"/>
      <c r="B282" s="4"/>
      <c r="C282" s="4"/>
    </row>
    <row r="283" spans="1:3" ht="15.75" customHeight="1" x14ac:dyDescent="0.3">
      <c r="A283" s="4"/>
      <c r="B283" s="4"/>
      <c r="C283" s="4"/>
    </row>
    <row r="284" spans="1:3" ht="15.75" customHeight="1" x14ac:dyDescent="0.3">
      <c r="A284" s="4"/>
      <c r="B284" s="4"/>
      <c r="C284" s="4"/>
    </row>
    <row r="285" spans="1:3" ht="15.75" customHeight="1" x14ac:dyDescent="0.3">
      <c r="A285" s="4"/>
      <c r="B285" s="4"/>
      <c r="C285" s="4"/>
    </row>
    <row r="286" spans="1:3" ht="15.75" customHeight="1" x14ac:dyDescent="0.3">
      <c r="A286" s="4"/>
      <c r="B286" s="4"/>
      <c r="C286" s="4"/>
    </row>
    <row r="287" spans="1:3" ht="15.75" customHeight="1" x14ac:dyDescent="0.3">
      <c r="A287" s="4"/>
      <c r="B287" s="4"/>
      <c r="C287" s="4"/>
    </row>
    <row r="288" spans="1:3" ht="15.75" customHeight="1" x14ac:dyDescent="0.3">
      <c r="A288" s="4"/>
      <c r="B288" s="4"/>
      <c r="C288" s="4"/>
    </row>
    <row r="289" spans="1:3" ht="15.75" customHeight="1" x14ac:dyDescent="0.3">
      <c r="A289" s="4"/>
      <c r="B289" s="4"/>
      <c r="C289" s="4"/>
    </row>
    <row r="290" spans="1:3" ht="15.75" customHeight="1" x14ac:dyDescent="0.3">
      <c r="A290" s="4"/>
      <c r="B290" s="4"/>
      <c r="C290" s="4"/>
    </row>
    <row r="291" spans="1:3" ht="15.75" customHeight="1" x14ac:dyDescent="0.3">
      <c r="A291" s="4"/>
      <c r="B291" s="4"/>
      <c r="C291" s="4"/>
    </row>
    <row r="292" spans="1:3" ht="15.75" customHeight="1" x14ac:dyDescent="0.3">
      <c r="A292" s="4"/>
      <c r="B292" s="4"/>
      <c r="C292" s="4"/>
    </row>
    <row r="293" spans="1:3" ht="15.75" customHeight="1" x14ac:dyDescent="0.3">
      <c r="A293" s="4"/>
      <c r="B293" s="4"/>
      <c r="C293" s="4"/>
    </row>
    <row r="294" spans="1:3" ht="15.75" customHeight="1" x14ac:dyDescent="0.3">
      <c r="A294" s="4"/>
      <c r="B294" s="4"/>
      <c r="C294" s="4"/>
    </row>
    <row r="295" spans="1:3" ht="15.75" customHeight="1" x14ac:dyDescent="0.3">
      <c r="A295" s="4"/>
      <c r="B295" s="4"/>
      <c r="C295" s="4"/>
    </row>
    <row r="296" spans="1:3" ht="15.75" customHeight="1" x14ac:dyDescent="0.3">
      <c r="A296" s="4"/>
      <c r="B296" s="4"/>
      <c r="C296" s="4"/>
    </row>
    <row r="297" spans="1:3" ht="15.75" customHeight="1" x14ac:dyDescent="0.3">
      <c r="A297" s="4"/>
      <c r="B297" s="4"/>
      <c r="C297" s="4"/>
    </row>
    <row r="298" spans="1:3" ht="15.75" customHeight="1" x14ac:dyDescent="0.3">
      <c r="A298" s="4"/>
      <c r="B298" s="4"/>
      <c r="C298" s="4"/>
    </row>
    <row r="299" spans="1:3" ht="15.75" customHeight="1" x14ac:dyDescent="0.3">
      <c r="A299" s="4"/>
      <c r="B299" s="4"/>
      <c r="C299" s="4"/>
    </row>
    <row r="300" spans="1:3" ht="15.75" customHeight="1" x14ac:dyDescent="0.3">
      <c r="A300" s="4"/>
      <c r="B300" s="4"/>
      <c r="C300" s="4"/>
    </row>
    <row r="301" spans="1:3" ht="15.75" customHeight="1" x14ac:dyDescent="0.3">
      <c r="A301" s="4"/>
      <c r="B301" s="4"/>
      <c r="C301" s="4"/>
    </row>
    <row r="302" spans="1:3" ht="15.75" customHeight="1" x14ac:dyDescent="0.3">
      <c r="A302" s="4"/>
      <c r="B302" s="4"/>
      <c r="C302" s="4"/>
    </row>
    <row r="303" spans="1:3" ht="15.75" customHeight="1" x14ac:dyDescent="0.3">
      <c r="A303" s="4"/>
      <c r="B303" s="4"/>
      <c r="C303" s="4"/>
    </row>
    <row r="304" spans="1:3" ht="15.75" customHeight="1" x14ac:dyDescent="0.3">
      <c r="A304" s="4"/>
      <c r="B304" s="4"/>
      <c r="C304" s="4"/>
    </row>
    <row r="305" spans="1:3" ht="15.75" customHeight="1" x14ac:dyDescent="0.3">
      <c r="A305" s="4"/>
      <c r="B305" s="4"/>
      <c r="C305" s="4"/>
    </row>
    <row r="306" spans="1:3" ht="15.75" customHeight="1" x14ac:dyDescent="0.3">
      <c r="A306" s="4"/>
      <c r="B306" s="4"/>
      <c r="C306" s="4"/>
    </row>
    <row r="307" spans="1:3" ht="15.75" customHeight="1" x14ac:dyDescent="0.3">
      <c r="A307" s="4"/>
      <c r="B307" s="4"/>
      <c r="C307" s="4"/>
    </row>
    <row r="308" spans="1:3" ht="15.75" customHeight="1" x14ac:dyDescent="0.3">
      <c r="A308" s="4"/>
      <c r="B308" s="4"/>
      <c r="C308" s="4"/>
    </row>
    <row r="309" spans="1:3" ht="15.75" customHeight="1" x14ac:dyDescent="0.3">
      <c r="A309" s="4"/>
      <c r="B309" s="4"/>
      <c r="C309" s="4"/>
    </row>
    <row r="310" spans="1:3" ht="15.75" customHeight="1" x14ac:dyDescent="0.3">
      <c r="A310" s="4"/>
      <c r="B310" s="4"/>
      <c r="C310" s="4"/>
    </row>
    <row r="311" spans="1:3" ht="15.75" customHeight="1" x14ac:dyDescent="0.3">
      <c r="A311" s="4"/>
      <c r="B311" s="4"/>
      <c r="C311" s="4"/>
    </row>
    <row r="312" spans="1:3" ht="15.75" customHeight="1" x14ac:dyDescent="0.3">
      <c r="A312" s="4"/>
      <c r="B312" s="4"/>
      <c r="C312" s="4"/>
    </row>
    <row r="313" spans="1:3" ht="15.75" customHeight="1" x14ac:dyDescent="0.3">
      <c r="A313" s="4"/>
      <c r="B313" s="4"/>
      <c r="C313" s="4"/>
    </row>
    <row r="314" spans="1:3" ht="15.75" customHeight="1" x14ac:dyDescent="0.3">
      <c r="A314" s="4"/>
      <c r="B314" s="4"/>
      <c r="C314" s="4"/>
    </row>
    <row r="315" spans="1:3" ht="15.75" customHeight="1" x14ac:dyDescent="0.3">
      <c r="A315" s="4"/>
      <c r="B315" s="4"/>
      <c r="C315" s="4"/>
    </row>
    <row r="316" spans="1:3" ht="15.75" customHeight="1" x14ac:dyDescent="0.3">
      <c r="A316" s="4"/>
      <c r="B316" s="4"/>
      <c r="C316" s="4"/>
    </row>
    <row r="317" spans="1:3" ht="15.75" customHeight="1" x14ac:dyDescent="0.3">
      <c r="A317" s="4"/>
      <c r="B317" s="4"/>
      <c r="C317" s="4"/>
    </row>
    <row r="318" spans="1:3" ht="15.75" customHeight="1" x14ac:dyDescent="0.3">
      <c r="A318" s="4"/>
      <c r="B318" s="4"/>
      <c r="C318" s="4"/>
    </row>
    <row r="319" spans="1:3" ht="15.75" customHeight="1" x14ac:dyDescent="0.3">
      <c r="A319" s="4"/>
      <c r="B319" s="4"/>
      <c r="C319" s="4"/>
    </row>
    <row r="320" spans="1:3" ht="15.75" customHeight="1" x14ac:dyDescent="0.3">
      <c r="A320" s="4"/>
      <c r="B320" s="4"/>
      <c r="C320" s="4"/>
    </row>
    <row r="321" spans="1:3" ht="15.75" customHeight="1" x14ac:dyDescent="0.3">
      <c r="A321" s="4"/>
      <c r="B321" s="4"/>
      <c r="C321" s="4"/>
    </row>
    <row r="322" spans="1:3" ht="15.75" customHeight="1" x14ac:dyDescent="0.3">
      <c r="A322" s="4"/>
      <c r="B322" s="4"/>
      <c r="C322" s="4"/>
    </row>
    <row r="323" spans="1:3" ht="15.75" customHeight="1" x14ac:dyDescent="0.3">
      <c r="A323" s="4"/>
      <c r="B323" s="4"/>
      <c r="C323" s="4"/>
    </row>
    <row r="324" spans="1:3" ht="15.75" customHeight="1" x14ac:dyDescent="0.3">
      <c r="A324" s="4"/>
      <c r="B324" s="4"/>
      <c r="C324" s="4"/>
    </row>
    <row r="325" spans="1:3" ht="15.75" customHeight="1" x14ac:dyDescent="0.3">
      <c r="A325" s="4"/>
      <c r="B325" s="4"/>
      <c r="C325" s="4"/>
    </row>
    <row r="326" spans="1:3" ht="15.75" customHeight="1" x14ac:dyDescent="0.3">
      <c r="A326" s="4"/>
      <c r="B326" s="4"/>
      <c r="C326" s="4"/>
    </row>
    <row r="327" spans="1:3" ht="15.75" customHeight="1" x14ac:dyDescent="0.3">
      <c r="A327" s="4"/>
      <c r="B327" s="4"/>
      <c r="C327" s="4"/>
    </row>
    <row r="328" spans="1:3" ht="15.75" customHeight="1" x14ac:dyDescent="0.3">
      <c r="A328" s="4"/>
      <c r="B328" s="4"/>
      <c r="C328" s="4"/>
    </row>
    <row r="329" spans="1:3" ht="15.75" customHeight="1" x14ac:dyDescent="0.3">
      <c r="A329" s="4"/>
      <c r="B329" s="4"/>
      <c r="C329" s="4"/>
    </row>
    <row r="330" spans="1:3" ht="15.75" customHeight="1" x14ac:dyDescent="0.3">
      <c r="A330" s="4"/>
      <c r="B330" s="4"/>
      <c r="C330" s="4"/>
    </row>
    <row r="331" spans="1:3" ht="15.75" customHeight="1" x14ac:dyDescent="0.3">
      <c r="A331" s="4"/>
      <c r="B331" s="4"/>
      <c r="C331" s="4"/>
    </row>
    <row r="332" spans="1:3" ht="15.75" customHeight="1" x14ac:dyDescent="0.3">
      <c r="A332" s="4"/>
      <c r="B332" s="4"/>
      <c r="C332" s="4"/>
    </row>
    <row r="333" spans="1:3" ht="15.75" customHeight="1" x14ac:dyDescent="0.3">
      <c r="A333" s="4"/>
      <c r="B333" s="4"/>
      <c r="C333" s="4"/>
    </row>
    <row r="334" spans="1:3" ht="15.75" customHeight="1" x14ac:dyDescent="0.3">
      <c r="A334" s="4"/>
      <c r="B334" s="4"/>
      <c r="C334" s="4"/>
    </row>
    <row r="335" spans="1:3" ht="15.75" customHeight="1" x14ac:dyDescent="0.3">
      <c r="A335" s="4"/>
      <c r="B335" s="4"/>
      <c r="C335" s="4"/>
    </row>
    <row r="336" spans="1:3" ht="15.75" customHeight="1" x14ac:dyDescent="0.3">
      <c r="A336" s="4"/>
      <c r="B336" s="4"/>
      <c r="C336" s="4"/>
    </row>
    <row r="337" spans="1:3" ht="15.75" customHeight="1" x14ac:dyDescent="0.3">
      <c r="A337" s="4"/>
      <c r="B337" s="4"/>
      <c r="C337" s="4"/>
    </row>
    <row r="338" spans="1:3" ht="15.75" customHeight="1" x14ac:dyDescent="0.3">
      <c r="A338" s="4"/>
      <c r="B338" s="4"/>
      <c r="C338" s="4"/>
    </row>
    <row r="339" spans="1:3" ht="15.75" customHeight="1" x14ac:dyDescent="0.3">
      <c r="A339" s="4"/>
      <c r="B339" s="4"/>
      <c r="C339" s="4"/>
    </row>
    <row r="340" spans="1:3" ht="15.75" customHeight="1" x14ac:dyDescent="0.3">
      <c r="A340" s="4"/>
      <c r="B340" s="4"/>
      <c r="C340" s="4"/>
    </row>
    <row r="341" spans="1:3" ht="15.75" customHeight="1" x14ac:dyDescent="0.3">
      <c r="A341" s="4"/>
      <c r="B341" s="4"/>
      <c r="C341" s="4"/>
    </row>
    <row r="342" spans="1:3" ht="15.75" customHeight="1" x14ac:dyDescent="0.3">
      <c r="A342" s="4"/>
      <c r="B342" s="4"/>
      <c r="C342" s="4"/>
    </row>
    <row r="343" spans="1:3" ht="15.75" customHeight="1" x14ac:dyDescent="0.3">
      <c r="A343" s="4"/>
      <c r="B343" s="4"/>
      <c r="C343" s="4"/>
    </row>
    <row r="344" spans="1:3" ht="15.75" customHeight="1" x14ac:dyDescent="0.3">
      <c r="A344" s="4"/>
      <c r="B344" s="4"/>
      <c r="C344" s="4"/>
    </row>
    <row r="345" spans="1:3" ht="15.75" customHeight="1" x14ac:dyDescent="0.3">
      <c r="A345" s="4"/>
      <c r="B345" s="4"/>
      <c r="C345" s="4"/>
    </row>
    <row r="346" spans="1:3" ht="15.75" customHeight="1" x14ac:dyDescent="0.3">
      <c r="A346" s="4"/>
      <c r="B346" s="4"/>
      <c r="C346" s="4"/>
    </row>
    <row r="347" spans="1:3" ht="15.75" customHeight="1" x14ac:dyDescent="0.3">
      <c r="A347" s="4"/>
      <c r="B347" s="4"/>
      <c r="C347" s="4"/>
    </row>
    <row r="348" spans="1:3" ht="15.75" customHeight="1" x14ac:dyDescent="0.3">
      <c r="A348" s="4"/>
      <c r="B348" s="4"/>
      <c r="C348" s="4"/>
    </row>
    <row r="349" spans="1:3" ht="15.75" customHeight="1" x14ac:dyDescent="0.3">
      <c r="A349" s="4"/>
      <c r="B349" s="4"/>
      <c r="C349" s="4"/>
    </row>
    <row r="350" spans="1:3" ht="15.75" customHeight="1" x14ac:dyDescent="0.3">
      <c r="A350" s="4"/>
      <c r="B350" s="4"/>
      <c r="C350" s="4"/>
    </row>
    <row r="351" spans="1:3" ht="15.75" customHeight="1" x14ac:dyDescent="0.3">
      <c r="A351" s="4"/>
      <c r="B351" s="4"/>
      <c r="C351" s="4"/>
    </row>
    <row r="352" spans="1:3" ht="15.75" customHeight="1" x14ac:dyDescent="0.3">
      <c r="A352" s="4"/>
      <c r="B352" s="4"/>
      <c r="C352" s="4"/>
    </row>
    <row r="353" spans="1:3" ht="15.75" customHeight="1" x14ac:dyDescent="0.3">
      <c r="A353" s="4"/>
      <c r="B353" s="4"/>
      <c r="C353" s="4"/>
    </row>
    <row r="354" spans="1:3" ht="15.75" customHeight="1" x14ac:dyDescent="0.3">
      <c r="A354" s="4"/>
      <c r="B354" s="4"/>
      <c r="C354" s="4"/>
    </row>
    <row r="355" spans="1:3" ht="15.75" customHeight="1" x14ac:dyDescent="0.3">
      <c r="A355" s="4"/>
      <c r="B355" s="4"/>
      <c r="C355" s="4"/>
    </row>
    <row r="356" spans="1:3" ht="15.75" customHeight="1" x14ac:dyDescent="0.3">
      <c r="A356" s="4"/>
      <c r="B356" s="4"/>
      <c r="C356" s="4"/>
    </row>
    <row r="357" spans="1:3" ht="15.75" customHeight="1" x14ac:dyDescent="0.3">
      <c r="A357" s="4"/>
      <c r="B357" s="4"/>
      <c r="C357" s="4"/>
    </row>
    <row r="358" spans="1:3" ht="15.75" customHeight="1" x14ac:dyDescent="0.3">
      <c r="A358" s="4"/>
      <c r="B358" s="4"/>
      <c r="C358" s="4"/>
    </row>
    <row r="359" spans="1:3" ht="15.75" customHeight="1" x14ac:dyDescent="0.3">
      <c r="A359" s="4"/>
      <c r="B359" s="4"/>
      <c r="C359" s="4"/>
    </row>
    <row r="360" spans="1:3" ht="15.75" customHeight="1" x14ac:dyDescent="0.3">
      <c r="A360" s="4"/>
      <c r="B360" s="4"/>
      <c r="C360" s="4"/>
    </row>
    <row r="361" spans="1:3" ht="15.75" customHeight="1" x14ac:dyDescent="0.3">
      <c r="A361" s="4"/>
      <c r="B361" s="4"/>
      <c r="C361" s="4"/>
    </row>
    <row r="362" spans="1:3" ht="15.75" customHeight="1" x14ac:dyDescent="0.3">
      <c r="A362" s="4"/>
      <c r="B362" s="4"/>
      <c r="C362" s="4"/>
    </row>
    <row r="363" spans="1:3" ht="15.75" customHeight="1" x14ac:dyDescent="0.3">
      <c r="A363" s="4"/>
      <c r="B363" s="4"/>
      <c r="C363" s="4"/>
    </row>
    <row r="364" spans="1:3" ht="15.75" customHeight="1" x14ac:dyDescent="0.3">
      <c r="A364" s="4"/>
      <c r="B364" s="4"/>
      <c r="C364" s="4"/>
    </row>
    <row r="365" spans="1:3" ht="15.75" customHeight="1" x14ac:dyDescent="0.3">
      <c r="A365" s="4"/>
      <c r="B365" s="4"/>
      <c r="C365" s="4"/>
    </row>
    <row r="366" spans="1:3" ht="15.75" customHeight="1" x14ac:dyDescent="0.3">
      <c r="A366" s="4"/>
      <c r="B366" s="4"/>
      <c r="C366" s="4"/>
    </row>
    <row r="367" spans="1:3" ht="15.75" customHeight="1" x14ac:dyDescent="0.3">
      <c r="A367" s="4"/>
      <c r="B367" s="4"/>
      <c r="C367" s="4"/>
    </row>
    <row r="368" spans="1:3" ht="15.75" customHeight="1" x14ac:dyDescent="0.3">
      <c r="A368" s="4"/>
      <c r="B368" s="4"/>
      <c r="C368" s="4"/>
    </row>
    <row r="369" spans="1:3" ht="15.75" customHeight="1" x14ac:dyDescent="0.3">
      <c r="A369" s="4"/>
      <c r="B369" s="4"/>
      <c r="C369" s="4"/>
    </row>
    <row r="370" spans="1:3" ht="15.75" customHeight="1" x14ac:dyDescent="0.3">
      <c r="A370" s="4"/>
      <c r="B370" s="4"/>
      <c r="C370" s="4"/>
    </row>
    <row r="371" spans="1:3" ht="15.75" customHeight="1" x14ac:dyDescent="0.3">
      <c r="A371" s="4"/>
      <c r="B371" s="4"/>
      <c r="C371" s="4"/>
    </row>
    <row r="372" spans="1:3" ht="15.75" customHeight="1" x14ac:dyDescent="0.3">
      <c r="A372" s="4"/>
      <c r="B372" s="4"/>
      <c r="C372" s="4"/>
    </row>
    <row r="373" spans="1:3" ht="15.75" customHeight="1" x14ac:dyDescent="0.3">
      <c r="A373" s="4"/>
      <c r="B373" s="4"/>
      <c r="C373" s="4"/>
    </row>
    <row r="374" spans="1:3" ht="15.75" customHeight="1" x14ac:dyDescent="0.3">
      <c r="A374" s="4"/>
      <c r="B374" s="4"/>
      <c r="C374" s="4"/>
    </row>
    <row r="375" spans="1:3" ht="15.75" customHeight="1" x14ac:dyDescent="0.3">
      <c r="A375" s="4"/>
      <c r="B375" s="4"/>
      <c r="C375" s="4"/>
    </row>
    <row r="376" spans="1:3" ht="15.75" customHeight="1" x14ac:dyDescent="0.3">
      <c r="A376" s="4"/>
      <c r="B376" s="4"/>
      <c r="C376" s="4"/>
    </row>
    <row r="377" spans="1:3" ht="15.75" customHeight="1" x14ac:dyDescent="0.3">
      <c r="A377" s="4"/>
      <c r="B377" s="4"/>
      <c r="C377" s="4"/>
    </row>
    <row r="378" spans="1:3" ht="15.75" customHeight="1" x14ac:dyDescent="0.3">
      <c r="A378" s="4"/>
      <c r="B378" s="4"/>
      <c r="C378" s="4"/>
    </row>
    <row r="379" spans="1:3" ht="15.75" customHeight="1" x14ac:dyDescent="0.3">
      <c r="A379" s="4"/>
      <c r="B379" s="4"/>
      <c r="C379" s="4"/>
    </row>
    <row r="380" spans="1:3" ht="15.75" customHeight="1" x14ac:dyDescent="0.3">
      <c r="A380" s="4"/>
      <c r="B380" s="4"/>
      <c r="C380" s="4"/>
    </row>
    <row r="381" spans="1:3" ht="15.75" customHeight="1" x14ac:dyDescent="0.3">
      <c r="A381" s="4"/>
      <c r="B381" s="4"/>
      <c r="C381" s="4"/>
    </row>
    <row r="382" spans="1:3" ht="15.75" customHeight="1" x14ac:dyDescent="0.3">
      <c r="A382" s="4"/>
      <c r="B382" s="4"/>
      <c r="C382" s="4"/>
    </row>
    <row r="383" spans="1:3" ht="15.75" customHeight="1" x14ac:dyDescent="0.3">
      <c r="A383" s="4"/>
      <c r="B383" s="4"/>
      <c r="C383" s="4"/>
    </row>
    <row r="384" spans="1:3" ht="15.75" customHeight="1" x14ac:dyDescent="0.3">
      <c r="A384" s="4"/>
      <c r="B384" s="4"/>
      <c r="C384" s="4"/>
    </row>
    <row r="385" spans="1:3" ht="15.75" customHeight="1" x14ac:dyDescent="0.3">
      <c r="A385" s="4"/>
      <c r="B385" s="4"/>
      <c r="C385" s="4"/>
    </row>
    <row r="386" spans="1:3" ht="15.75" customHeight="1" x14ac:dyDescent="0.3">
      <c r="A386" s="4"/>
      <c r="B386" s="4"/>
      <c r="C386" s="4"/>
    </row>
    <row r="387" spans="1:3" ht="15.75" customHeight="1" x14ac:dyDescent="0.3">
      <c r="A387" s="4"/>
      <c r="B387" s="4"/>
      <c r="C387" s="4"/>
    </row>
    <row r="388" spans="1:3" ht="15.75" customHeight="1" x14ac:dyDescent="0.3">
      <c r="A388" s="4"/>
      <c r="B388" s="4"/>
      <c r="C388" s="4"/>
    </row>
    <row r="389" spans="1:3" ht="15.75" customHeight="1" x14ac:dyDescent="0.3">
      <c r="A389" s="4"/>
      <c r="B389" s="4"/>
      <c r="C389" s="4"/>
    </row>
    <row r="390" spans="1:3" ht="15.75" customHeight="1" x14ac:dyDescent="0.3">
      <c r="A390" s="4"/>
      <c r="B390" s="4"/>
      <c r="C390" s="4"/>
    </row>
    <row r="391" spans="1:3" ht="15.75" customHeight="1" x14ac:dyDescent="0.3">
      <c r="A391" s="4"/>
      <c r="B391" s="4"/>
      <c r="C391" s="4"/>
    </row>
    <row r="392" spans="1:3" ht="15.75" customHeight="1" x14ac:dyDescent="0.3">
      <c r="A392" s="4"/>
      <c r="B392" s="4"/>
      <c r="C392" s="4"/>
    </row>
    <row r="393" spans="1:3" ht="15.75" customHeight="1" x14ac:dyDescent="0.3">
      <c r="A393" s="4"/>
      <c r="B393" s="4"/>
      <c r="C393" s="4"/>
    </row>
    <row r="394" spans="1:3" ht="15.75" customHeight="1" x14ac:dyDescent="0.3">
      <c r="A394" s="4"/>
      <c r="B394" s="4"/>
      <c r="C394" s="4"/>
    </row>
    <row r="395" spans="1:3" ht="15.75" customHeight="1" x14ac:dyDescent="0.3">
      <c r="A395" s="4"/>
      <c r="B395" s="4"/>
      <c r="C395" s="4"/>
    </row>
    <row r="396" spans="1:3" ht="15.75" customHeight="1" x14ac:dyDescent="0.3">
      <c r="A396" s="4"/>
      <c r="B396" s="4"/>
      <c r="C396" s="4"/>
    </row>
    <row r="397" spans="1:3" ht="15.75" customHeight="1" x14ac:dyDescent="0.3">
      <c r="A397" s="4"/>
      <c r="B397" s="4"/>
      <c r="C397" s="4"/>
    </row>
    <row r="398" spans="1:3" ht="15.75" customHeight="1" x14ac:dyDescent="0.3">
      <c r="A398" s="4"/>
      <c r="B398" s="4"/>
      <c r="C398" s="4"/>
    </row>
    <row r="399" spans="1:3" ht="15.75" customHeight="1" x14ac:dyDescent="0.3">
      <c r="A399" s="4"/>
      <c r="B399" s="4"/>
      <c r="C399" s="4"/>
    </row>
    <row r="400" spans="1:3" ht="15.75" customHeight="1" x14ac:dyDescent="0.3">
      <c r="A400" s="4"/>
      <c r="B400" s="4"/>
      <c r="C400" s="4"/>
    </row>
    <row r="401" spans="1:3" ht="15.75" customHeight="1" x14ac:dyDescent="0.3">
      <c r="A401" s="4"/>
      <c r="B401" s="4"/>
      <c r="C401" s="4"/>
    </row>
    <row r="402" spans="1:3" ht="15.75" customHeight="1" x14ac:dyDescent="0.3">
      <c r="A402" s="4"/>
      <c r="B402" s="4"/>
      <c r="C402" s="4"/>
    </row>
    <row r="403" spans="1:3" ht="15.75" customHeight="1" x14ac:dyDescent="0.3">
      <c r="A403" s="4"/>
      <c r="B403" s="4"/>
      <c r="C403" s="4"/>
    </row>
    <row r="404" spans="1:3" ht="15.75" customHeight="1" x14ac:dyDescent="0.3">
      <c r="A404" s="4"/>
      <c r="B404" s="4"/>
      <c r="C404" s="4"/>
    </row>
    <row r="405" spans="1:3" ht="15.75" customHeight="1" x14ac:dyDescent="0.3">
      <c r="A405" s="4"/>
      <c r="B405" s="4"/>
      <c r="C405" s="4"/>
    </row>
    <row r="406" spans="1:3" ht="15.75" customHeight="1" x14ac:dyDescent="0.3">
      <c r="A406" s="4"/>
      <c r="B406" s="4"/>
      <c r="C406" s="4"/>
    </row>
    <row r="407" spans="1:3" ht="15.75" customHeight="1" x14ac:dyDescent="0.3">
      <c r="A407" s="4"/>
      <c r="B407" s="4"/>
      <c r="C407" s="4"/>
    </row>
    <row r="408" spans="1:3" ht="15.75" customHeight="1" x14ac:dyDescent="0.3">
      <c r="A408" s="4"/>
      <c r="B408" s="4"/>
      <c r="C408" s="4"/>
    </row>
    <row r="409" spans="1:3" ht="15.75" customHeight="1" x14ac:dyDescent="0.3">
      <c r="A409" s="4"/>
      <c r="B409" s="4"/>
      <c r="C409" s="4"/>
    </row>
    <row r="410" spans="1:3" ht="15.75" customHeight="1" x14ac:dyDescent="0.3">
      <c r="A410" s="4"/>
      <c r="B410" s="4"/>
      <c r="C410" s="4"/>
    </row>
    <row r="411" spans="1:3" ht="15.75" customHeight="1" x14ac:dyDescent="0.3">
      <c r="A411" s="4"/>
      <c r="B411" s="4"/>
      <c r="C411" s="4"/>
    </row>
    <row r="412" spans="1:3" ht="15.75" customHeight="1" x14ac:dyDescent="0.3">
      <c r="A412" s="4"/>
      <c r="B412" s="4"/>
      <c r="C412" s="4"/>
    </row>
    <row r="413" spans="1:3" ht="15.75" customHeight="1" x14ac:dyDescent="0.3">
      <c r="A413" s="4"/>
      <c r="B413" s="4"/>
      <c r="C413" s="4"/>
    </row>
    <row r="414" spans="1:3" ht="15.75" customHeight="1" x14ac:dyDescent="0.3">
      <c r="A414" s="4"/>
      <c r="B414" s="4"/>
      <c r="C414" s="4"/>
    </row>
    <row r="415" spans="1:3" ht="15.75" customHeight="1" x14ac:dyDescent="0.3">
      <c r="A415" s="4"/>
      <c r="B415" s="4"/>
      <c r="C415" s="4"/>
    </row>
    <row r="416" spans="1:3" ht="15.75" customHeight="1" x14ac:dyDescent="0.3">
      <c r="A416" s="4"/>
      <c r="B416" s="4"/>
      <c r="C416" s="4"/>
    </row>
    <row r="417" spans="1:3" ht="15.75" customHeight="1" x14ac:dyDescent="0.3">
      <c r="A417" s="4"/>
      <c r="B417" s="4"/>
      <c r="C417" s="4"/>
    </row>
    <row r="418" spans="1:3" ht="15.75" customHeight="1" x14ac:dyDescent="0.3">
      <c r="A418" s="4"/>
      <c r="B418" s="4"/>
      <c r="C418" s="4"/>
    </row>
    <row r="419" spans="1:3" ht="15.75" customHeight="1" x14ac:dyDescent="0.3">
      <c r="A419" s="4"/>
      <c r="B419" s="4"/>
      <c r="C419" s="4"/>
    </row>
    <row r="420" spans="1:3" ht="15.75" customHeight="1" x14ac:dyDescent="0.3">
      <c r="A420" s="4"/>
      <c r="B420" s="4"/>
      <c r="C420" s="4"/>
    </row>
    <row r="421" spans="1:3" ht="15.75" customHeight="1" x14ac:dyDescent="0.3">
      <c r="A421" s="4"/>
      <c r="B421" s="4"/>
      <c r="C421" s="4"/>
    </row>
    <row r="422" spans="1:3" ht="15.75" customHeight="1" x14ac:dyDescent="0.3">
      <c r="A422" s="4"/>
      <c r="B422" s="4"/>
      <c r="C422" s="4"/>
    </row>
    <row r="423" spans="1:3" ht="15.75" customHeight="1" x14ac:dyDescent="0.3">
      <c r="A423" s="4"/>
      <c r="B423" s="4"/>
      <c r="C423" s="4"/>
    </row>
    <row r="424" spans="1:3" ht="15.75" customHeight="1" x14ac:dyDescent="0.3">
      <c r="A424" s="4"/>
      <c r="B424" s="4"/>
      <c r="C424" s="4"/>
    </row>
    <row r="425" spans="1:3" ht="15.75" customHeight="1" x14ac:dyDescent="0.3">
      <c r="A425" s="4"/>
      <c r="B425" s="4"/>
      <c r="C425" s="4"/>
    </row>
    <row r="426" spans="1:3" ht="15.75" customHeight="1" x14ac:dyDescent="0.3">
      <c r="A426" s="4"/>
      <c r="B426" s="4"/>
      <c r="C426" s="4"/>
    </row>
    <row r="427" spans="1:3" ht="15.75" customHeight="1" x14ac:dyDescent="0.3">
      <c r="A427" s="4"/>
      <c r="B427" s="4"/>
      <c r="C427" s="4"/>
    </row>
    <row r="428" spans="1:3" ht="15.75" customHeight="1" x14ac:dyDescent="0.3">
      <c r="A428" s="4"/>
      <c r="B428" s="4"/>
      <c r="C428" s="4"/>
    </row>
    <row r="429" spans="1:3" ht="15.75" customHeight="1" x14ac:dyDescent="0.3">
      <c r="A429" s="4"/>
      <c r="B429" s="4"/>
      <c r="C429" s="4"/>
    </row>
    <row r="430" spans="1:3" ht="15.75" customHeight="1" x14ac:dyDescent="0.3">
      <c r="A430" s="4"/>
      <c r="B430" s="4"/>
      <c r="C430" s="4"/>
    </row>
    <row r="431" spans="1:3" ht="15.75" customHeight="1" x14ac:dyDescent="0.3">
      <c r="A431" s="4"/>
      <c r="B431" s="4"/>
      <c r="C431" s="4"/>
    </row>
    <row r="432" spans="1:3" ht="15.75" customHeight="1" x14ac:dyDescent="0.3">
      <c r="A432" s="4"/>
      <c r="B432" s="4"/>
      <c r="C432" s="4"/>
    </row>
    <row r="433" spans="1:3" ht="15.75" customHeight="1" x14ac:dyDescent="0.3">
      <c r="A433" s="4"/>
      <c r="B433" s="4"/>
      <c r="C433" s="4"/>
    </row>
    <row r="434" spans="1:3" ht="15.75" customHeight="1" x14ac:dyDescent="0.3">
      <c r="A434" s="4"/>
      <c r="B434" s="4"/>
      <c r="C434" s="4"/>
    </row>
    <row r="435" spans="1:3" ht="15.75" customHeight="1" x14ac:dyDescent="0.3">
      <c r="A435" s="4"/>
      <c r="B435" s="4"/>
      <c r="C435" s="4"/>
    </row>
    <row r="436" spans="1:3" ht="15.75" customHeight="1" x14ac:dyDescent="0.3">
      <c r="A436" s="4"/>
      <c r="B436" s="4"/>
      <c r="C436" s="4"/>
    </row>
    <row r="437" spans="1:3" ht="15.75" customHeight="1" x14ac:dyDescent="0.3">
      <c r="A437" s="4"/>
      <c r="B437" s="4"/>
      <c r="C437" s="4"/>
    </row>
    <row r="438" spans="1:3" ht="15.75" customHeight="1" x14ac:dyDescent="0.3">
      <c r="A438" s="4"/>
      <c r="B438" s="4"/>
      <c r="C438" s="4"/>
    </row>
    <row r="439" spans="1:3" ht="15.75" customHeight="1" x14ac:dyDescent="0.3">
      <c r="A439" s="4"/>
      <c r="B439" s="4"/>
      <c r="C439" s="4"/>
    </row>
    <row r="440" spans="1:3" ht="15.75" customHeight="1" x14ac:dyDescent="0.3">
      <c r="A440" s="4"/>
      <c r="B440" s="4"/>
      <c r="C440" s="4"/>
    </row>
    <row r="441" spans="1:3" ht="15.75" customHeight="1" x14ac:dyDescent="0.3">
      <c r="A441" s="4"/>
      <c r="B441" s="4"/>
      <c r="C441" s="4"/>
    </row>
    <row r="442" spans="1:3" ht="15.75" customHeight="1" x14ac:dyDescent="0.3">
      <c r="A442" s="4"/>
      <c r="B442" s="4"/>
      <c r="C442" s="4"/>
    </row>
    <row r="443" spans="1:3" ht="15.75" customHeight="1" x14ac:dyDescent="0.3">
      <c r="A443" s="4"/>
      <c r="B443" s="4"/>
      <c r="C443" s="4"/>
    </row>
    <row r="444" spans="1:3" ht="15.75" customHeight="1" x14ac:dyDescent="0.3">
      <c r="A444" s="4"/>
      <c r="B444" s="4"/>
      <c r="C444" s="4"/>
    </row>
    <row r="445" spans="1:3" ht="15.75" customHeight="1" x14ac:dyDescent="0.3">
      <c r="A445" s="4"/>
      <c r="B445" s="4"/>
      <c r="C445" s="4"/>
    </row>
    <row r="446" spans="1:3" ht="15.75" customHeight="1" x14ac:dyDescent="0.3">
      <c r="A446" s="4"/>
      <c r="B446" s="4"/>
      <c r="C446" s="4"/>
    </row>
    <row r="447" spans="1:3" ht="15.75" customHeight="1" x14ac:dyDescent="0.3">
      <c r="A447" s="4"/>
      <c r="B447" s="4"/>
      <c r="C447" s="4"/>
    </row>
    <row r="448" spans="1:3" ht="15.75" customHeight="1" x14ac:dyDescent="0.3">
      <c r="A448" s="4"/>
      <c r="B448" s="4"/>
      <c r="C448" s="4"/>
    </row>
    <row r="449" spans="1:3" ht="15.75" customHeight="1" x14ac:dyDescent="0.3">
      <c r="A449" s="4"/>
      <c r="B449" s="4"/>
      <c r="C449" s="4"/>
    </row>
    <row r="450" spans="1:3" ht="15.75" customHeight="1" x14ac:dyDescent="0.3">
      <c r="A450" s="4"/>
      <c r="B450" s="4"/>
      <c r="C450" s="4"/>
    </row>
    <row r="451" spans="1:3" ht="15.75" customHeight="1" x14ac:dyDescent="0.3">
      <c r="A451" s="4"/>
      <c r="B451" s="4"/>
      <c r="C451" s="4"/>
    </row>
    <row r="452" spans="1:3" ht="15.75" customHeight="1" x14ac:dyDescent="0.3">
      <c r="A452" s="4"/>
      <c r="B452" s="4"/>
      <c r="C452" s="4"/>
    </row>
    <row r="453" spans="1:3" ht="15.75" customHeight="1" x14ac:dyDescent="0.3">
      <c r="A453" s="4"/>
      <c r="B453" s="4"/>
      <c r="C453" s="4"/>
    </row>
    <row r="454" spans="1:3" ht="15.75" customHeight="1" x14ac:dyDescent="0.3">
      <c r="A454" s="4"/>
      <c r="B454" s="4"/>
      <c r="C454" s="4"/>
    </row>
    <row r="455" spans="1:3" ht="15.75" customHeight="1" x14ac:dyDescent="0.3">
      <c r="A455" s="4"/>
      <c r="B455" s="4"/>
      <c r="C455" s="4"/>
    </row>
    <row r="456" spans="1:3" ht="15.75" customHeight="1" x14ac:dyDescent="0.3">
      <c r="A456" s="4"/>
      <c r="B456" s="4"/>
      <c r="C456" s="4"/>
    </row>
    <row r="457" spans="1:3" ht="15.75" customHeight="1" x14ac:dyDescent="0.3">
      <c r="A457" s="4"/>
      <c r="B457" s="4"/>
      <c r="C457" s="4"/>
    </row>
    <row r="458" spans="1:3" ht="15.75" customHeight="1" x14ac:dyDescent="0.3">
      <c r="A458" s="4"/>
      <c r="B458" s="4"/>
      <c r="C458" s="4"/>
    </row>
    <row r="459" spans="1:3" ht="15.75" customHeight="1" x14ac:dyDescent="0.3">
      <c r="A459" s="4"/>
      <c r="B459" s="4"/>
      <c r="C459" s="4"/>
    </row>
    <row r="460" spans="1:3" ht="15.75" customHeight="1" x14ac:dyDescent="0.3">
      <c r="A460" s="4"/>
      <c r="B460" s="4"/>
      <c r="C460" s="4"/>
    </row>
    <row r="461" spans="1:3" ht="15.75" customHeight="1" x14ac:dyDescent="0.3">
      <c r="A461" s="4"/>
      <c r="B461" s="4"/>
      <c r="C461" s="4"/>
    </row>
    <row r="462" spans="1:3" ht="15.75" customHeight="1" x14ac:dyDescent="0.3">
      <c r="A462" s="4"/>
      <c r="B462" s="4"/>
      <c r="C462" s="4"/>
    </row>
    <row r="463" spans="1:3" ht="15.75" customHeight="1" x14ac:dyDescent="0.3">
      <c r="A463" s="4"/>
      <c r="B463" s="4"/>
      <c r="C463" s="4"/>
    </row>
    <row r="464" spans="1:3" ht="15.75" customHeight="1" x14ac:dyDescent="0.3">
      <c r="A464" s="4"/>
      <c r="B464" s="4"/>
      <c r="C464" s="4"/>
    </row>
    <row r="465" spans="1:3" ht="15.75" customHeight="1" x14ac:dyDescent="0.3">
      <c r="A465" s="4"/>
      <c r="B465" s="4"/>
      <c r="C465" s="4"/>
    </row>
    <row r="466" spans="1:3" ht="15.75" customHeight="1" x14ac:dyDescent="0.3">
      <c r="A466" s="4"/>
      <c r="B466" s="4"/>
      <c r="C466" s="4"/>
    </row>
    <row r="467" spans="1:3" ht="15.75" customHeight="1" x14ac:dyDescent="0.3">
      <c r="A467" s="4"/>
      <c r="B467" s="4"/>
      <c r="C467" s="4"/>
    </row>
    <row r="468" spans="1:3" ht="15.75" customHeight="1" x14ac:dyDescent="0.3">
      <c r="A468" s="4"/>
      <c r="B468" s="4"/>
      <c r="C468" s="4"/>
    </row>
    <row r="469" spans="1:3" ht="15.75" customHeight="1" x14ac:dyDescent="0.3">
      <c r="A469" s="4"/>
      <c r="B469" s="4"/>
      <c r="C469" s="4"/>
    </row>
    <row r="470" spans="1:3" ht="15.75" customHeight="1" x14ac:dyDescent="0.3">
      <c r="A470" s="4"/>
      <c r="B470" s="4"/>
      <c r="C470" s="4"/>
    </row>
    <row r="471" spans="1:3" ht="15.75" customHeight="1" x14ac:dyDescent="0.3">
      <c r="A471" s="4"/>
      <c r="B471" s="4"/>
      <c r="C471" s="4"/>
    </row>
    <row r="472" spans="1:3" ht="15.75" customHeight="1" x14ac:dyDescent="0.3">
      <c r="A472" s="4"/>
      <c r="B472" s="4"/>
      <c r="C472" s="4"/>
    </row>
    <row r="473" spans="1:3" ht="15.75" customHeight="1" x14ac:dyDescent="0.3">
      <c r="A473" s="4"/>
      <c r="B473" s="4"/>
      <c r="C473" s="4"/>
    </row>
    <row r="474" spans="1:3" ht="15.75" customHeight="1" x14ac:dyDescent="0.3">
      <c r="A474" s="4"/>
      <c r="B474" s="4"/>
      <c r="C474" s="4"/>
    </row>
    <row r="475" spans="1:3" ht="15.75" customHeight="1" x14ac:dyDescent="0.3">
      <c r="A475" s="4"/>
      <c r="B475" s="4"/>
      <c r="C475" s="4"/>
    </row>
    <row r="476" spans="1:3" ht="15.75" customHeight="1" x14ac:dyDescent="0.3">
      <c r="A476" s="4"/>
      <c r="B476" s="4"/>
      <c r="C476" s="4"/>
    </row>
    <row r="477" spans="1:3" ht="15.75" customHeight="1" x14ac:dyDescent="0.3">
      <c r="A477" s="4"/>
      <c r="B477" s="4"/>
      <c r="C477" s="4"/>
    </row>
    <row r="478" spans="1:3" ht="15.75" customHeight="1" x14ac:dyDescent="0.3">
      <c r="A478" s="4"/>
      <c r="B478" s="4"/>
      <c r="C478" s="4"/>
    </row>
    <row r="479" spans="1:3" ht="15.75" customHeight="1" x14ac:dyDescent="0.3">
      <c r="A479" s="4"/>
      <c r="B479" s="4"/>
      <c r="C479" s="4"/>
    </row>
    <row r="480" spans="1:3" ht="15.75" customHeight="1" x14ac:dyDescent="0.3">
      <c r="A480" s="4"/>
      <c r="B480" s="4"/>
      <c r="C480" s="4"/>
    </row>
    <row r="481" spans="1:3" ht="15.75" customHeight="1" x14ac:dyDescent="0.3">
      <c r="A481" s="4"/>
      <c r="B481" s="4"/>
      <c r="C481" s="4"/>
    </row>
    <row r="482" spans="1:3" ht="15.75" customHeight="1" x14ac:dyDescent="0.3">
      <c r="A482" s="4"/>
      <c r="B482" s="4"/>
      <c r="C482" s="4"/>
    </row>
    <row r="483" spans="1:3" ht="15.75" customHeight="1" x14ac:dyDescent="0.3">
      <c r="A483" s="4"/>
      <c r="B483" s="4"/>
      <c r="C483" s="4"/>
    </row>
    <row r="484" spans="1:3" ht="15.75" customHeight="1" x14ac:dyDescent="0.3">
      <c r="A484" s="4"/>
      <c r="B484" s="4"/>
      <c r="C484" s="4"/>
    </row>
    <row r="485" spans="1:3" ht="15.75" customHeight="1" x14ac:dyDescent="0.3">
      <c r="A485" s="4"/>
      <c r="B485" s="4"/>
      <c r="C485" s="4"/>
    </row>
    <row r="486" spans="1:3" ht="15.75" customHeight="1" x14ac:dyDescent="0.3">
      <c r="A486" s="4"/>
      <c r="B486" s="4"/>
      <c r="C486" s="4"/>
    </row>
    <row r="487" spans="1:3" ht="15.75" customHeight="1" x14ac:dyDescent="0.3">
      <c r="A487" s="4"/>
      <c r="B487" s="4"/>
      <c r="C487" s="4"/>
    </row>
    <row r="488" spans="1:3" ht="15.75" customHeight="1" x14ac:dyDescent="0.3">
      <c r="A488" s="4"/>
      <c r="B488" s="4"/>
      <c r="C488" s="4"/>
    </row>
    <row r="489" spans="1:3" ht="15.75" customHeight="1" x14ac:dyDescent="0.3">
      <c r="A489" s="4"/>
      <c r="B489" s="4"/>
      <c r="C489" s="4"/>
    </row>
    <row r="490" spans="1:3" ht="15.75" customHeight="1" x14ac:dyDescent="0.3">
      <c r="A490" s="4"/>
      <c r="B490" s="4"/>
      <c r="C490" s="4"/>
    </row>
    <row r="491" spans="1:3" ht="15.75" customHeight="1" x14ac:dyDescent="0.3">
      <c r="A491" s="4"/>
      <c r="B491" s="4"/>
      <c r="C491" s="4"/>
    </row>
    <row r="492" spans="1:3" ht="15.75" customHeight="1" x14ac:dyDescent="0.3">
      <c r="A492" s="4"/>
      <c r="B492" s="4"/>
      <c r="C492" s="4"/>
    </row>
    <row r="493" spans="1:3" ht="15.75" customHeight="1" x14ac:dyDescent="0.3">
      <c r="A493" s="4"/>
      <c r="B493" s="4"/>
      <c r="C493" s="4"/>
    </row>
    <row r="494" spans="1:3" ht="15.75" customHeight="1" x14ac:dyDescent="0.3">
      <c r="A494" s="4"/>
      <c r="B494" s="4"/>
      <c r="C494" s="4"/>
    </row>
    <row r="495" spans="1:3" ht="15.75" customHeight="1" x14ac:dyDescent="0.3">
      <c r="A495" s="4"/>
      <c r="B495" s="4"/>
      <c r="C495" s="4"/>
    </row>
    <row r="496" spans="1:3" ht="15.75" customHeight="1" x14ac:dyDescent="0.3">
      <c r="A496" s="4"/>
      <c r="B496" s="4"/>
      <c r="C496" s="4"/>
    </row>
    <row r="497" spans="1:3" ht="15.75" customHeight="1" x14ac:dyDescent="0.3">
      <c r="A497" s="4"/>
      <c r="B497" s="4"/>
      <c r="C497" s="4"/>
    </row>
    <row r="498" spans="1:3" ht="15.75" customHeight="1" x14ac:dyDescent="0.3">
      <c r="A498" s="4"/>
      <c r="B498" s="4"/>
      <c r="C498" s="4"/>
    </row>
    <row r="499" spans="1:3" ht="15.75" customHeight="1" x14ac:dyDescent="0.3">
      <c r="A499" s="4"/>
      <c r="B499" s="4"/>
      <c r="C499" s="4"/>
    </row>
    <row r="500" spans="1:3" ht="15.75" customHeight="1" x14ac:dyDescent="0.3">
      <c r="A500" s="4"/>
      <c r="B500" s="4"/>
      <c r="C500" s="4"/>
    </row>
    <row r="501" spans="1:3" ht="15.75" customHeight="1" x14ac:dyDescent="0.3">
      <c r="A501" s="4"/>
      <c r="B501" s="4"/>
      <c r="C501" s="4"/>
    </row>
    <row r="502" spans="1:3" ht="15.75" customHeight="1" x14ac:dyDescent="0.3">
      <c r="A502" s="4"/>
      <c r="B502" s="4"/>
      <c r="C502" s="4"/>
    </row>
    <row r="503" spans="1:3" ht="15.75" customHeight="1" x14ac:dyDescent="0.3">
      <c r="A503" s="4"/>
      <c r="B503" s="4"/>
      <c r="C503" s="4"/>
    </row>
    <row r="504" spans="1:3" ht="15.75" customHeight="1" x14ac:dyDescent="0.3">
      <c r="A504" s="4"/>
      <c r="B504" s="4"/>
      <c r="C504" s="4"/>
    </row>
    <row r="505" spans="1:3" ht="15.75" customHeight="1" x14ac:dyDescent="0.3">
      <c r="A505" s="4"/>
      <c r="B505" s="4"/>
      <c r="C505" s="4"/>
    </row>
    <row r="506" spans="1:3" ht="15.75" customHeight="1" x14ac:dyDescent="0.3">
      <c r="A506" s="4"/>
      <c r="B506" s="4"/>
      <c r="C506" s="4"/>
    </row>
    <row r="507" spans="1:3" ht="15.75" customHeight="1" x14ac:dyDescent="0.3">
      <c r="A507" s="4"/>
      <c r="B507" s="4"/>
      <c r="C507" s="4"/>
    </row>
    <row r="508" spans="1:3" ht="15.75" customHeight="1" x14ac:dyDescent="0.3">
      <c r="A508" s="4"/>
      <c r="B508" s="4"/>
      <c r="C508" s="4"/>
    </row>
    <row r="509" spans="1:3" ht="15.75" customHeight="1" x14ac:dyDescent="0.3">
      <c r="A509" s="4"/>
      <c r="B509" s="4"/>
      <c r="C509" s="4"/>
    </row>
    <row r="510" spans="1:3" ht="15.75" customHeight="1" x14ac:dyDescent="0.3">
      <c r="A510" s="4"/>
      <c r="B510" s="4"/>
      <c r="C510" s="4"/>
    </row>
    <row r="511" spans="1:3" ht="15.75" customHeight="1" x14ac:dyDescent="0.3">
      <c r="A511" s="4"/>
      <c r="B511" s="4"/>
      <c r="C511" s="4"/>
    </row>
    <row r="512" spans="1:3" ht="15.75" customHeight="1" x14ac:dyDescent="0.3">
      <c r="A512" s="4"/>
      <c r="B512" s="4"/>
      <c r="C512" s="4"/>
    </row>
    <row r="513" spans="1:3" ht="15.75" customHeight="1" x14ac:dyDescent="0.3">
      <c r="A513" s="4"/>
      <c r="B513" s="4"/>
      <c r="C513" s="4"/>
    </row>
    <row r="514" spans="1:3" ht="15.75" customHeight="1" x14ac:dyDescent="0.3">
      <c r="A514" s="4"/>
      <c r="B514" s="4"/>
      <c r="C514" s="4"/>
    </row>
    <row r="515" spans="1:3" ht="15.75" customHeight="1" x14ac:dyDescent="0.3">
      <c r="A515" s="4"/>
      <c r="B515" s="4"/>
      <c r="C515" s="4"/>
    </row>
    <row r="516" spans="1:3" ht="15.75" customHeight="1" x14ac:dyDescent="0.3">
      <c r="A516" s="4"/>
      <c r="B516" s="4"/>
      <c r="C516" s="4"/>
    </row>
    <row r="517" spans="1:3" ht="15.75" customHeight="1" x14ac:dyDescent="0.3">
      <c r="A517" s="4"/>
      <c r="B517" s="4"/>
      <c r="C517" s="4"/>
    </row>
    <row r="518" spans="1:3" ht="15.75" customHeight="1" x14ac:dyDescent="0.3">
      <c r="A518" s="4"/>
      <c r="B518" s="4"/>
      <c r="C518" s="4"/>
    </row>
    <row r="519" spans="1:3" ht="15.75" customHeight="1" x14ac:dyDescent="0.3">
      <c r="A519" s="4"/>
      <c r="B519" s="4"/>
      <c r="C519" s="4"/>
    </row>
    <row r="520" spans="1:3" ht="15.75" customHeight="1" x14ac:dyDescent="0.3">
      <c r="A520" s="4"/>
      <c r="B520" s="4"/>
      <c r="C520" s="4"/>
    </row>
    <row r="521" spans="1:3" ht="15.75" customHeight="1" x14ac:dyDescent="0.3">
      <c r="A521" s="4"/>
      <c r="B521" s="4"/>
      <c r="C521" s="4"/>
    </row>
    <row r="522" spans="1:3" ht="15.75" customHeight="1" x14ac:dyDescent="0.3">
      <c r="A522" s="4"/>
      <c r="B522" s="4"/>
      <c r="C522" s="4"/>
    </row>
    <row r="523" spans="1:3" ht="15.75" customHeight="1" x14ac:dyDescent="0.3">
      <c r="A523" s="4"/>
      <c r="B523" s="4"/>
      <c r="C523" s="4"/>
    </row>
    <row r="524" spans="1:3" ht="15.75" customHeight="1" x14ac:dyDescent="0.3">
      <c r="A524" s="4"/>
      <c r="B524" s="4"/>
      <c r="C524" s="4"/>
    </row>
    <row r="525" spans="1:3" ht="15.75" customHeight="1" x14ac:dyDescent="0.3">
      <c r="A525" s="4"/>
      <c r="B525" s="4"/>
      <c r="C525" s="4"/>
    </row>
    <row r="526" spans="1:3" ht="15.75" customHeight="1" x14ac:dyDescent="0.3">
      <c r="A526" s="4"/>
      <c r="B526" s="4"/>
      <c r="C526" s="4"/>
    </row>
    <row r="527" spans="1:3" ht="15.75" customHeight="1" x14ac:dyDescent="0.3">
      <c r="A527" s="4"/>
      <c r="B527" s="4"/>
      <c r="C527" s="4"/>
    </row>
    <row r="528" spans="1:3" ht="15.75" customHeight="1" x14ac:dyDescent="0.3">
      <c r="A528" s="4"/>
      <c r="B528" s="4"/>
      <c r="C528" s="4"/>
    </row>
    <row r="529" spans="1:3" ht="15.75" customHeight="1" x14ac:dyDescent="0.3">
      <c r="A529" s="4"/>
      <c r="B529" s="4"/>
      <c r="C529" s="4"/>
    </row>
    <row r="530" spans="1:3" ht="15.75" customHeight="1" x14ac:dyDescent="0.3">
      <c r="A530" s="4"/>
      <c r="B530" s="4"/>
      <c r="C530" s="4"/>
    </row>
    <row r="531" spans="1:3" ht="15.75" customHeight="1" x14ac:dyDescent="0.3">
      <c r="A531" s="4"/>
      <c r="B531" s="4"/>
      <c r="C531" s="4"/>
    </row>
    <row r="532" spans="1:3" ht="15.75" customHeight="1" x14ac:dyDescent="0.3">
      <c r="A532" s="4"/>
      <c r="B532" s="4"/>
      <c r="C532" s="4"/>
    </row>
    <row r="533" spans="1:3" ht="15.75" customHeight="1" x14ac:dyDescent="0.3">
      <c r="A533" s="4"/>
      <c r="B533" s="4"/>
      <c r="C533" s="4"/>
    </row>
    <row r="534" spans="1:3" ht="15.75" customHeight="1" x14ac:dyDescent="0.3">
      <c r="A534" s="4"/>
      <c r="B534" s="4"/>
      <c r="C534" s="4"/>
    </row>
    <row r="535" spans="1:3" ht="15.75" customHeight="1" x14ac:dyDescent="0.3">
      <c r="A535" s="4"/>
      <c r="B535" s="4"/>
      <c r="C535" s="4"/>
    </row>
    <row r="536" spans="1:3" ht="15.75" customHeight="1" x14ac:dyDescent="0.3">
      <c r="A536" s="4"/>
      <c r="B536" s="4"/>
      <c r="C536" s="4"/>
    </row>
    <row r="537" spans="1:3" ht="15.75" customHeight="1" x14ac:dyDescent="0.3">
      <c r="A537" s="4"/>
      <c r="B537" s="4"/>
      <c r="C537" s="4"/>
    </row>
    <row r="538" spans="1:3" ht="15.75" customHeight="1" x14ac:dyDescent="0.3">
      <c r="A538" s="4"/>
      <c r="B538" s="4"/>
      <c r="C538" s="4"/>
    </row>
    <row r="539" spans="1:3" ht="15.75" customHeight="1" x14ac:dyDescent="0.3">
      <c r="A539" s="4"/>
      <c r="B539" s="4"/>
      <c r="C539" s="4"/>
    </row>
    <row r="540" spans="1:3" ht="15.75" customHeight="1" x14ac:dyDescent="0.3">
      <c r="A540" s="4"/>
      <c r="B540" s="4"/>
      <c r="C540" s="4"/>
    </row>
    <row r="541" spans="1:3" ht="15.75" customHeight="1" x14ac:dyDescent="0.3">
      <c r="A541" s="4"/>
      <c r="B541" s="4"/>
      <c r="C541" s="4"/>
    </row>
    <row r="542" spans="1:3" ht="15.75" customHeight="1" x14ac:dyDescent="0.3">
      <c r="A542" s="4"/>
      <c r="B542" s="4"/>
      <c r="C542" s="4"/>
    </row>
    <row r="543" spans="1:3" ht="15.75" customHeight="1" x14ac:dyDescent="0.3">
      <c r="A543" s="4"/>
      <c r="B543" s="4"/>
      <c r="C543" s="4"/>
    </row>
    <row r="544" spans="1:3" ht="15.75" customHeight="1" x14ac:dyDescent="0.3">
      <c r="A544" s="4"/>
      <c r="B544" s="4"/>
      <c r="C544" s="4"/>
    </row>
    <row r="545" spans="1:3" ht="15.75" customHeight="1" x14ac:dyDescent="0.3">
      <c r="A545" s="4"/>
      <c r="B545" s="4"/>
      <c r="C545" s="4"/>
    </row>
    <row r="546" spans="1:3" ht="15.75" customHeight="1" x14ac:dyDescent="0.3">
      <c r="A546" s="4"/>
      <c r="B546" s="4"/>
      <c r="C546" s="4"/>
    </row>
    <row r="547" spans="1:3" ht="15.75" customHeight="1" x14ac:dyDescent="0.3">
      <c r="A547" s="4"/>
      <c r="B547" s="4"/>
      <c r="C547" s="4"/>
    </row>
    <row r="548" spans="1:3" ht="15.75" customHeight="1" x14ac:dyDescent="0.3">
      <c r="A548" s="4"/>
      <c r="B548" s="4"/>
      <c r="C548" s="4"/>
    </row>
    <row r="549" spans="1:3" ht="15.75" customHeight="1" x14ac:dyDescent="0.3">
      <c r="A549" s="4"/>
      <c r="B549" s="4"/>
      <c r="C549" s="4"/>
    </row>
    <row r="550" spans="1:3" ht="15.75" customHeight="1" x14ac:dyDescent="0.3">
      <c r="A550" s="4"/>
      <c r="B550" s="4"/>
      <c r="C550" s="4"/>
    </row>
    <row r="551" spans="1:3" ht="15.75" customHeight="1" x14ac:dyDescent="0.3">
      <c r="A551" s="4"/>
      <c r="B551" s="4"/>
      <c r="C551" s="4"/>
    </row>
    <row r="552" spans="1:3" ht="15.75" customHeight="1" x14ac:dyDescent="0.3">
      <c r="A552" s="4"/>
      <c r="B552" s="4"/>
      <c r="C552" s="4"/>
    </row>
    <row r="553" spans="1:3" ht="15.75" customHeight="1" x14ac:dyDescent="0.3">
      <c r="A553" s="4"/>
      <c r="B553" s="4"/>
      <c r="C553" s="4"/>
    </row>
    <row r="554" spans="1:3" ht="15.75" customHeight="1" x14ac:dyDescent="0.3">
      <c r="A554" s="4"/>
      <c r="B554" s="4"/>
      <c r="C554" s="4"/>
    </row>
    <row r="555" spans="1:3" ht="15.75" customHeight="1" x14ac:dyDescent="0.3">
      <c r="A555" s="4"/>
      <c r="B555" s="4"/>
      <c r="C555" s="4"/>
    </row>
    <row r="556" spans="1:3" ht="15.75" customHeight="1" x14ac:dyDescent="0.3">
      <c r="A556" s="4"/>
      <c r="B556" s="4"/>
      <c r="C556" s="4"/>
    </row>
    <row r="557" spans="1:3" ht="15.75" customHeight="1" x14ac:dyDescent="0.3">
      <c r="A557" s="4"/>
      <c r="B557" s="4"/>
      <c r="C557" s="4"/>
    </row>
    <row r="558" spans="1:3" ht="15.75" customHeight="1" x14ac:dyDescent="0.3">
      <c r="A558" s="4"/>
      <c r="B558" s="4"/>
      <c r="C558" s="4"/>
    </row>
    <row r="559" spans="1:3" ht="15.75" customHeight="1" x14ac:dyDescent="0.3">
      <c r="A559" s="4"/>
      <c r="B559" s="4"/>
      <c r="C559" s="4"/>
    </row>
    <row r="560" spans="1:3" ht="15.75" customHeight="1" x14ac:dyDescent="0.3">
      <c r="A560" s="4"/>
      <c r="B560" s="4"/>
      <c r="C560" s="4"/>
    </row>
    <row r="561" spans="1:3" ht="15.75" customHeight="1" x14ac:dyDescent="0.3">
      <c r="A561" s="4"/>
      <c r="B561" s="4"/>
      <c r="C561" s="4"/>
    </row>
    <row r="562" spans="1:3" ht="15.75" customHeight="1" x14ac:dyDescent="0.3">
      <c r="A562" s="4"/>
      <c r="B562" s="4"/>
      <c r="C562" s="4"/>
    </row>
    <row r="563" spans="1:3" ht="15.75" customHeight="1" x14ac:dyDescent="0.3">
      <c r="A563" s="4"/>
      <c r="B563" s="4"/>
      <c r="C563" s="4"/>
    </row>
    <row r="564" spans="1:3" ht="15.75" customHeight="1" x14ac:dyDescent="0.3">
      <c r="A564" s="4"/>
      <c r="B564" s="4"/>
      <c r="C564" s="4"/>
    </row>
    <row r="565" spans="1:3" ht="15.75" customHeight="1" x14ac:dyDescent="0.3">
      <c r="A565" s="4"/>
      <c r="B565" s="4"/>
      <c r="C565" s="4"/>
    </row>
    <row r="566" spans="1:3" ht="15.75" customHeight="1" x14ac:dyDescent="0.3">
      <c r="A566" s="4"/>
      <c r="B566" s="4"/>
      <c r="C566" s="4"/>
    </row>
    <row r="567" spans="1:3" ht="15.75" customHeight="1" x14ac:dyDescent="0.3">
      <c r="A567" s="4"/>
      <c r="B567" s="4"/>
      <c r="C567" s="4"/>
    </row>
    <row r="568" spans="1:3" ht="15.75" customHeight="1" x14ac:dyDescent="0.3">
      <c r="A568" s="4"/>
      <c r="B568" s="4"/>
      <c r="C568" s="4"/>
    </row>
    <row r="569" spans="1:3" ht="15.75" customHeight="1" x14ac:dyDescent="0.3">
      <c r="A569" s="4"/>
      <c r="B569" s="4"/>
      <c r="C569" s="4"/>
    </row>
    <row r="570" spans="1:3" ht="15.75" customHeight="1" x14ac:dyDescent="0.3">
      <c r="A570" s="4"/>
      <c r="B570" s="4"/>
      <c r="C570" s="4"/>
    </row>
    <row r="571" spans="1:3" ht="15.75" customHeight="1" x14ac:dyDescent="0.3">
      <c r="A571" s="4"/>
      <c r="B571" s="4"/>
      <c r="C571" s="4"/>
    </row>
    <row r="572" spans="1:3" ht="15.75" customHeight="1" x14ac:dyDescent="0.3">
      <c r="A572" s="4"/>
      <c r="B572" s="4"/>
      <c r="C572" s="4"/>
    </row>
    <row r="573" spans="1:3" ht="15.75" customHeight="1" x14ac:dyDescent="0.3">
      <c r="A573" s="4"/>
      <c r="B573" s="4"/>
      <c r="C573" s="4"/>
    </row>
    <row r="574" spans="1:3" ht="15.75" customHeight="1" x14ac:dyDescent="0.3">
      <c r="A574" s="4"/>
      <c r="B574" s="4"/>
      <c r="C574" s="4"/>
    </row>
    <row r="575" spans="1:3" ht="15.75" customHeight="1" x14ac:dyDescent="0.3">
      <c r="A575" s="4"/>
      <c r="B575" s="4"/>
      <c r="C575" s="4"/>
    </row>
    <row r="576" spans="1:3" ht="15.75" customHeight="1" x14ac:dyDescent="0.3">
      <c r="A576" s="4"/>
      <c r="B576" s="4"/>
      <c r="C576" s="4"/>
    </row>
    <row r="577" spans="1:3" ht="15.75" customHeight="1" x14ac:dyDescent="0.3">
      <c r="A577" s="4"/>
      <c r="B577" s="4"/>
      <c r="C577" s="4"/>
    </row>
    <row r="578" spans="1:3" ht="15.75" customHeight="1" x14ac:dyDescent="0.3">
      <c r="A578" s="4"/>
      <c r="B578" s="4"/>
      <c r="C578" s="4"/>
    </row>
    <row r="579" spans="1:3" ht="15.75" customHeight="1" x14ac:dyDescent="0.3">
      <c r="A579" s="4"/>
      <c r="B579" s="4"/>
      <c r="C579" s="4"/>
    </row>
    <row r="580" spans="1:3" ht="15.75" customHeight="1" x14ac:dyDescent="0.3">
      <c r="A580" s="4"/>
      <c r="B580" s="4"/>
      <c r="C580" s="4"/>
    </row>
    <row r="581" spans="1:3" ht="15.75" customHeight="1" x14ac:dyDescent="0.3">
      <c r="A581" s="4"/>
      <c r="B581" s="4"/>
      <c r="C581" s="4"/>
    </row>
    <row r="582" spans="1:3" ht="15.75" customHeight="1" x14ac:dyDescent="0.3">
      <c r="A582" s="4"/>
      <c r="B582" s="4"/>
      <c r="C582" s="4"/>
    </row>
    <row r="583" spans="1:3" ht="15.75" customHeight="1" x14ac:dyDescent="0.3">
      <c r="A583" s="4"/>
      <c r="B583" s="4"/>
      <c r="C583" s="4"/>
    </row>
    <row r="584" spans="1:3" ht="15.75" customHeight="1" x14ac:dyDescent="0.3">
      <c r="A584" s="4"/>
      <c r="B584" s="4"/>
      <c r="C584" s="4"/>
    </row>
    <row r="585" spans="1:3" ht="15.75" customHeight="1" x14ac:dyDescent="0.3">
      <c r="A585" s="4"/>
      <c r="B585" s="4"/>
      <c r="C585" s="4"/>
    </row>
    <row r="586" spans="1:3" ht="15.75" customHeight="1" x14ac:dyDescent="0.3">
      <c r="A586" s="4"/>
      <c r="B586" s="4"/>
      <c r="C586" s="4"/>
    </row>
    <row r="587" spans="1:3" ht="15.75" customHeight="1" x14ac:dyDescent="0.3">
      <c r="A587" s="4"/>
      <c r="B587" s="4"/>
      <c r="C587" s="4"/>
    </row>
    <row r="588" spans="1:3" ht="15.75" customHeight="1" x14ac:dyDescent="0.3">
      <c r="A588" s="4"/>
      <c r="B588" s="4"/>
      <c r="C588" s="4"/>
    </row>
    <row r="589" spans="1:3" ht="15.75" customHeight="1" x14ac:dyDescent="0.3">
      <c r="A589" s="4"/>
      <c r="B589" s="4"/>
      <c r="C589" s="4"/>
    </row>
    <row r="590" spans="1:3" ht="15.75" customHeight="1" x14ac:dyDescent="0.3">
      <c r="A590" s="4"/>
      <c r="B590" s="4"/>
      <c r="C590" s="4"/>
    </row>
    <row r="591" spans="1:3" ht="15.75" customHeight="1" x14ac:dyDescent="0.3">
      <c r="A591" s="4"/>
      <c r="B591" s="4"/>
      <c r="C591" s="4"/>
    </row>
    <row r="592" spans="1:3" ht="15.75" customHeight="1" x14ac:dyDescent="0.3">
      <c r="A592" s="4"/>
      <c r="B592" s="4"/>
      <c r="C592" s="4"/>
    </row>
    <row r="593" spans="1:3" ht="15.75" customHeight="1" x14ac:dyDescent="0.3">
      <c r="A593" s="4"/>
      <c r="B593" s="4"/>
      <c r="C593" s="4"/>
    </row>
    <row r="594" spans="1:3" ht="15.75" customHeight="1" x14ac:dyDescent="0.3">
      <c r="A594" s="4"/>
      <c r="B594" s="4"/>
      <c r="C594" s="4"/>
    </row>
    <row r="595" spans="1:3" ht="15.75" customHeight="1" x14ac:dyDescent="0.3">
      <c r="A595" s="4"/>
      <c r="B595" s="4"/>
      <c r="C595" s="4"/>
    </row>
    <row r="596" spans="1:3" ht="15.75" customHeight="1" x14ac:dyDescent="0.3">
      <c r="A596" s="4"/>
      <c r="B596" s="4"/>
      <c r="C596" s="4"/>
    </row>
    <row r="597" spans="1:3" ht="15.75" customHeight="1" x14ac:dyDescent="0.3">
      <c r="A597" s="4"/>
      <c r="B597" s="4"/>
      <c r="C597" s="4"/>
    </row>
    <row r="598" spans="1:3" ht="15.75" customHeight="1" x14ac:dyDescent="0.3">
      <c r="A598" s="4"/>
      <c r="B598" s="4"/>
      <c r="C598" s="4"/>
    </row>
    <row r="599" spans="1:3" ht="15.75" customHeight="1" x14ac:dyDescent="0.3">
      <c r="A599" s="4"/>
      <c r="B599" s="4"/>
      <c r="C599" s="4"/>
    </row>
    <row r="600" spans="1:3" ht="15.75" customHeight="1" x14ac:dyDescent="0.3">
      <c r="A600" s="4"/>
      <c r="B600" s="4"/>
      <c r="C600" s="4"/>
    </row>
    <row r="601" spans="1:3" ht="15.75" customHeight="1" x14ac:dyDescent="0.3">
      <c r="A601" s="4"/>
      <c r="B601" s="4"/>
      <c r="C601" s="4"/>
    </row>
    <row r="602" spans="1:3" ht="15.75" customHeight="1" x14ac:dyDescent="0.3">
      <c r="A602" s="4"/>
      <c r="B602" s="4"/>
      <c r="C602" s="4"/>
    </row>
    <row r="603" spans="1:3" ht="15.75" customHeight="1" x14ac:dyDescent="0.3">
      <c r="A603" s="4"/>
      <c r="B603" s="4"/>
      <c r="C603" s="4"/>
    </row>
    <row r="604" spans="1:3" ht="15.75" customHeight="1" x14ac:dyDescent="0.3">
      <c r="A604" s="4"/>
      <c r="B604" s="4"/>
      <c r="C604" s="4"/>
    </row>
    <row r="605" spans="1:3" ht="15.75" customHeight="1" x14ac:dyDescent="0.3">
      <c r="A605" s="4"/>
      <c r="B605" s="4"/>
      <c r="C605" s="4"/>
    </row>
    <row r="606" spans="1:3" ht="15.75" customHeight="1" x14ac:dyDescent="0.3">
      <c r="A606" s="4"/>
      <c r="B606" s="4"/>
      <c r="C606" s="4"/>
    </row>
    <row r="607" spans="1:3" ht="15.75" customHeight="1" x14ac:dyDescent="0.3">
      <c r="A607" s="4"/>
      <c r="B607" s="4"/>
      <c r="C607" s="4"/>
    </row>
    <row r="608" spans="1:3" ht="15.75" customHeight="1" x14ac:dyDescent="0.3">
      <c r="A608" s="4"/>
      <c r="B608" s="4"/>
      <c r="C608" s="4"/>
    </row>
    <row r="609" spans="1:3" ht="15.75" customHeight="1" x14ac:dyDescent="0.3">
      <c r="A609" s="4"/>
      <c r="B609" s="4"/>
      <c r="C609" s="4"/>
    </row>
    <row r="610" spans="1:3" ht="15.75" customHeight="1" x14ac:dyDescent="0.3">
      <c r="A610" s="4"/>
      <c r="B610" s="4"/>
      <c r="C610" s="4"/>
    </row>
    <row r="611" spans="1:3" ht="15.75" customHeight="1" x14ac:dyDescent="0.3">
      <c r="A611" s="4"/>
      <c r="B611" s="4"/>
      <c r="C611" s="4"/>
    </row>
    <row r="612" spans="1:3" ht="15.75" customHeight="1" x14ac:dyDescent="0.3">
      <c r="A612" s="4"/>
      <c r="B612" s="4"/>
      <c r="C612" s="4"/>
    </row>
    <row r="613" spans="1:3" ht="15.75" customHeight="1" x14ac:dyDescent="0.3">
      <c r="A613" s="4"/>
      <c r="B613" s="4"/>
      <c r="C613" s="4"/>
    </row>
    <row r="614" spans="1:3" ht="15.75" customHeight="1" x14ac:dyDescent="0.3">
      <c r="A614" s="4"/>
      <c r="B614" s="4"/>
      <c r="C614" s="4"/>
    </row>
    <row r="615" spans="1:3" ht="15.75" customHeight="1" x14ac:dyDescent="0.3">
      <c r="A615" s="4"/>
      <c r="B615" s="4"/>
      <c r="C615" s="4"/>
    </row>
    <row r="616" spans="1:3" ht="15.75" customHeight="1" x14ac:dyDescent="0.3">
      <c r="A616" s="4"/>
      <c r="B616" s="4"/>
      <c r="C616" s="4"/>
    </row>
    <row r="617" spans="1:3" ht="15.75" customHeight="1" x14ac:dyDescent="0.3">
      <c r="A617" s="4"/>
      <c r="B617" s="4"/>
      <c r="C617" s="4"/>
    </row>
    <row r="618" spans="1:3" ht="15.75" customHeight="1" x14ac:dyDescent="0.3">
      <c r="A618" s="4"/>
      <c r="B618" s="4"/>
      <c r="C618" s="4"/>
    </row>
    <row r="619" spans="1:3" ht="15.75" customHeight="1" x14ac:dyDescent="0.3">
      <c r="A619" s="4"/>
      <c r="B619" s="4"/>
      <c r="C619" s="4"/>
    </row>
    <row r="620" spans="1:3" ht="15.75" customHeight="1" x14ac:dyDescent="0.3">
      <c r="A620" s="4"/>
      <c r="B620" s="4"/>
      <c r="C620" s="4"/>
    </row>
    <row r="621" spans="1:3" ht="15.75" customHeight="1" x14ac:dyDescent="0.3">
      <c r="A621" s="4"/>
      <c r="B621" s="4"/>
      <c r="C621" s="4"/>
    </row>
    <row r="622" spans="1:3" ht="15.75" customHeight="1" x14ac:dyDescent="0.3">
      <c r="A622" s="4"/>
      <c r="B622" s="4"/>
      <c r="C622" s="4"/>
    </row>
    <row r="623" spans="1:3" ht="15.75" customHeight="1" x14ac:dyDescent="0.3">
      <c r="A623" s="4"/>
      <c r="B623" s="4"/>
      <c r="C623" s="4"/>
    </row>
    <row r="624" spans="1:3" ht="15.75" customHeight="1" x14ac:dyDescent="0.3">
      <c r="A624" s="4"/>
      <c r="B624" s="4"/>
      <c r="C624" s="4"/>
    </row>
    <row r="625" spans="1:3" ht="15.75" customHeight="1" x14ac:dyDescent="0.3">
      <c r="A625" s="4"/>
      <c r="B625" s="4"/>
      <c r="C625" s="4"/>
    </row>
    <row r="626" spans="1:3" ht="15.75" customHeight="1" x14ac:dyDescent="0.3">
      <c r="A626" s="4"/>
      <c r="B626" s="4"/>
      <c r="C626" s="4"/>
    </row>
    <row r="627" spans="1:3" ht="15.75" customHeight="1" x14ac:dyDescent="0.3">
      <c r="A627" s="4"/>
      <c r="B627" s="4"/>
      <c r="C627" s="4"/>
    </row>
    <row r="628" spans="1:3" ht="15.75" customHeight="1" x14ac:dyDescent="0.3">
      <c r="A628" s="4"/>
      <c r="B628" s="4"/>
      <c r="C628" s="4"/>
    </row>
    <row r="629" spans="1:3" ht="15.75" customHeight="1" x14ac:dyDescent="0.3">
      <c r="A629" s="4"/>
      <c r="B629" s="4"/>
      <c r="C629" s="4"/>
    </row>
    <row r="630" spans="1:3" ht="15.75" customHeight="1" x14ac:dyDescent="0.3">
      <c r="A630" s="4"/>
      <c r="B630" s="4"/>
      <c r="C630" s="4"/>
    </row>
    <row r="631" spans="1:3" ht="15.75" customHeight="1" x14ac:dyDescent="0.3">
      <c r="A631" s="4"/>
      <c r="B631" s="4"/>
      <c r="C631" s="4"/>
    </row>
    <row r="632" spans="1:3" ht="15.75" customHeight="1" x14ac:dyDescent="0.3">
      <c r="A632" s="4"/>
      <c r="B632" s="4"/>
      <c r="C632" s="4"/>
    </row>
    <row r="633" spans="1:3" ht="15.75" customHeight="1" x14ac:dyDescent="0.3">
      <c r="A633" s="4"/>
      <c r="B633" s="4"/>
      <c r="C633" s="4"/>
    </row>
    <row r="634" spans="1:3" ht="15.75" customHeight="1" x14ac:dyDescent="0.3">
      <c r="A634" s="4"/>
      <c r="B634" s="4"/>
      <c r="C634" s="4"/>
    </row>
    <row r="635" spans="1:3" ht="15.75" customHeight="1" x14ac:dyDescent="0.3">
      <c r="A635" s="4"/>
      <c r="B635" s="4"/>
      <c r="C635" s="4"/>
    </row>
    <row r="636" spans="1:3" ht="15.75" customHeight="1" x14ac:dyDescent="0.3">
      <c r="A636" s="4"/>
      <c r="B636" s="4"/>
      <c r="C636" s="4"/>
    </row>
    <row r="637" spans="1:3" ht="15.75" customHeight="1" x14ac:dyDescent="0.3">
      <c r="A637" s="4"/>
      <c r="B637" s="4"/>
      <c r="C637" s="4"/>
    </row>
    <row r="638" spans="1:3" ht="15.75" customHeight="1" x14ac:dyDescent="0.3">
      <c r="A638" s="4"/>
      <c r="B638" s="4"/>
      <c r="C638" s="4"/>
    </row>
    <row r="639" spans="1:3" ht="15.75" customHeight="1" x14ac:dyDescent="0.3">
      <c r="A639" s="4"/>
      <c r="B639" s="4"/>
      <c r="C639" s="4"/>
    </row>
    <row r="640" spans="1:3" ht="15.75" customHeight="1" x14ac:dyDescent="0.3">
      <c r="A640" s="4"/>
      <c r="B640" s="4"/>
      <c r="C640" s="4"/>
    </row>
    <row r="641" spans="1:3" ht="15.75" customHeight="1" x14ac:dyDescent="0.3">
      <c r="A641" s="4"/>
      <c r="B641" s="4"/>
      <c r="C641" s="4"/>
    </row>
    <row r="642" spans="1:3" ht="15.75" customHeight="1" x14ac:dyDescent="0.3">
      <c r="A642" s="4"/>
      <c r="B642" s="4"/>
      <c r="C642" s="4"/>
    </row>
    <row r="643" spans="1:3" ht="15.75" customHeight="1" x14ac:dyDescent="0.3">
      <c r="A643" s="4"/>
      <c r="B643" s="4"/>
      <c r="C643" s="4"/>
    </row>
    <row r="644" spans="1:3" ht="15.75" customHeight="1" x14ac:dyDescent="0.3">
      <c r="A644" s="4"/>
      <c r="B644" s="4"/>
      <c r="C644" s="4"/>
    </row>
    <row r="645" spans="1:3" ht="15.75" customHeight="1" x14ac:dyDescent="0.3">
      <c r="A645" s="4"/>
      <c r="B645" s="4"/>
      <c r="C645" s="4"/>
    </row>
    <row r="646" spans="1:3" ht="15.75" customHeight="1" x14ac:dyDescent="0.3">
      <c r="A646" s="4"/>
      <c r="B646" s="4"/>
      <c r="C646" s="4"/>
    </row>
    <row r="647" spans="1:3" ht="15.75" customHeight="1" x14ac:dyDescent="0.3">
      <c r="A647" s="4"/>
      <c r="B647" s="4"/>
      <c r="C647" s="4"/>
    </row>
    <row r="648" spans="1:3" ht="15.75" customHeight="1" x14ac:dyDescent="0.3">
      <c r="A648" s="4"/>
      <c r="B648" s="4"/>
      <c r="C648" s="4"/>
    </row>
    <row r="649" spans="1:3" ht="15.75" customHeight="1" x14ac:dyDescent="0.3">
      <c r="A649" s="4"/>
      <c r="B649" s="4"/>
      <c r="C649" s="4"/>
    </row>
    <row r="650" spans="1:3" ht="15.75" customHeight="1" x14ac:dyDescent="0.3">
      <c r="A650" s="4"/>
      <c r="B650" s="4"/>
      <c r="C650" s="4"/>
    </row>
    <row r="651" spans="1:3" ht="15.75" customHeight="1" x14ac:dyDescent="0.3">
      <c r="A651" s="4"/>
      <c r="B651" s="4"/>
      <c r="C651" s="4"/>
    </row>
    <row r="652" spans="1:3" ht="15.75" customHeight="1" x14ac:dyDescent="0.3">
      <c r="A652" s="4"/>
      <c r="B652" s="4"/>
      <c r="C652" s="4"/>
    </row>
    <row r="653" spans="1:3" ht="15.75" customHeight="1" x14ac:dyDescent="0.3">
      <c r="A653" s="4"/>
      <c r="B653" s="4"/>
      <c r="C653" s="4"/>
    </row>
    <row r="654" spans="1:3" ht="15.75" customHeight="1" x14ac:dyDescent="0.3">
      <c r="A654" s="4"/>
      <c r="B654" s="4"/>
      <c r="C654" s="4"/>
    </row>
    <row r="655" spans="1:3" ht="15.75" customHeight="1" x14ac:dyDescent="0.3">
      <c r="A655" s="4"/>
      <c r="B655" s="4"/>
      <c r="C655" s="4"/>
    </row>
    <row r="656" spans="1:3" ht="15.75" customHeight="1" x14ac:dyDescent="0.3">
      <c r="A656" s="4"/>
      <c r="B656" s="4"/>
      <c r="C656" s="4"/>
    </row>
    <row r="657" spans="1:3" ht="15.75" customHeight="1" x14ac:dyDescent="0.3">
      <c r="A657" s="4"/>
      <c r="B657" s="4"/>
      <c r="C657" s="4"/>
    </row>
    <row r="658" spans="1:3" ht="15.75" customHeight="1" x14ac:dyDescent="0.3">
      <c r="A658" s="4"/>
      <c r="B658" s="4"/>
      <c r="C658" s="4"/>
    </row>
    <row r="659" spans="1:3" ht="15.75" customHeight="1" x14ac:dyDescent="0.3">
      <c r="A659" s="4"/>
      <c r="B659" s="4"/>
      <c r="C659" s="4"/>
    </row>
    <row r="660" spans="1:3" ht="15.75" customHeight="1" x14ac:dyDescent="0.3">
      <c r="A660" s="4"/>
      <c r="B660" s="4"/>
      <c r="C660" s="4"/>
    </row>
    <row r="661" spans="1:3" ht="15.75" customHeight="1" x14ac:dyDescent="0.3">
      <c r="A661" s="4"/>
      <c r="B661" s="4"/>
      <c r="C661" s="4"/>
    </row>
    <row r="662" spans="1:3" ht="15.75" customHeight="1" x14ac:dyDescent="0.3">
      <c r="A662" s="4"/>
      <c r="B662" s="4"/>
      <c r="C662" s="4"/>
    </row>
    <row r="663" spans="1:3" ht="15.75" customHeight="1" x14ac:dyDescent="0.3">
      <c r="A663" s="4"/>
      <c r="B663" s="4"/>
      <c r="C663" s="4"/>
    </row>
    <row r="664" spans="1:3" ht="15.75" customHeight="1" x14ac:dyDescent="0.3">
      <c r="A664" s="4"/>
      <c r="B664" s="4"/>
      <c r="C664" s="4"/>
    </row>
    <row r="665" spans="1:3" ht="15.75" customHeight="1" x14ac:dyDescent="0.3">
      <c r="A665" s="4"/>
      <c r="B665" s="4"/>
      <c r="C665" s="4"/>
    </row>
    <row r="666" spans="1:3" ht="15.75" customHeight="1" x14ac:dyDescent="0.3">
      <c r="A666" s="4"/>
      <c r="B666" s="4"/>
      <c r="C666" s="4"/>
    </row>
    <row r="667" spans="1:3" ht="15.75" customHeight="1" x14ac:dyDescent="0.3">
      <c r="A667" s="4"/>
      <c r="B667" s="4"/>
      <c r="C667" s="4"/>
    </row>
    <row r="668" spans="1:3" ht="15.75" customHeight="1" x14ac:dyDescent="0.3">
      <c r="A668" s="4"/>
      <c r="B668" s="4"/>
      <c r="C668" s="4"/>
    </row>
    <row r="669" spans="1:3" ht="15.75" customHeight="1" x14ac:dyDescent="0.3">
      <c r="A669" s="4"/>
      <c r="B669" s="4"/>
      <c r="C669" s="4"/>
    </row>
    <row r="670" spans="1:3" ht="15.75" customHeight="1" x14ac:dyDescent="0.3">
      <c r="A670" s="4"/>
      <c r="B670" s="4"/>
      <c r="C670" s="4"/>
    </row>
    <row r="671" spans="1:3" ht="15.75" customHeight="1" x14ac:dyDescent="0.3">
      <c r="A671" s="4"/>
      <c r="B671" s="4"/>
      <c r="C671" s="4"/>
    </row>
    <row r="672" spans="1:3" ht="15.75" customHeight="1" x14ac:dyDescent="0.3">
      <c r="A672" s="4"/>
      <c r="B672" s="4"/>
      <c r="C672" s="4"/>
    </row>
    <row r="673" spans="1:3" ht="15.75" customHeight="1" x14ac:dyDescent="0.3">
      <c r="A673" s="4"/>
      <c r="B673" s="4"/>
      <c r="C673" s="4"/>
    </row>
    <row r="674" spans="1:3" ht="15.75" customHeight="1" x14ac:dyDescent="0.3">
      <c r="A674" s="4"/>
      <c r="B674" s="4"/>
      <c r="C674" s="4"/>
    </row>
    <row r="675" spans="1:3" ht="15.75" customHeight="1" x14ac:dyDescent="0.3">
      <c r="A675" s="4"/>
      <c r="B675" s="4"/>
      <c r="C675" s="4"/>
    </row>
    <row r="676" spans="1:3" ht="15.75" customHeight="1" x14ac:dyDescent="0.3">
      <c r="A676" s="4"/>
      <c r="B676" s="4"/>
      <c r="C676" s="4"/>
    </row>
    <row r="677" spans="1:3" ht="15.75" customHeight="1" x14ac:dyDescent="0.3">
      <c r="A677" s="4"/>
      <c r="B677" s="4"/>
      <c r="C677" s="4"/>
    </row>
    <row r="678" spans="1:3" ht="15.75" customHeight="1" x14ac:dyDescent="0.3">
      <c r="A678" s="4"/>
      <c r="B678" s="4"/>
      <c r="C678" s="4"/>
    </row>
    <row r="679" spans="1:3" ht="15.75" customHeight="1" x14ac:dyDescent="0.3">
      <c r="A679" s="4"/>
      <c r="B679" s="4"/>
      <c r="C679" s="4"/>
    </row>
    <row r="680" spans="1:3" ht="15.75" customHeight="1" x14ac:dyDescent="0.3">
      <c r="A680" s="4"/>
      <c r="B680" s="4"/>
      <c r="C680" s="4"/>
    </row>
    <row r="681" spans="1:3" ht="15.75" customHeight="1" x14ac:dyDescent="0.3">
      <c r="A681" s="4"/>
      <c r="B681" s="4"/>
      <c r="C681" s="4"/>
    </row>
    <row r="682" spans="1:3" ht="15.75" customHeight="1" x14ac:dyDescent="0.3">
      <c r="A682" s="4"/>
      <c r="B682" s="4"/>
      <c r="C682" s="4"/>
    </row>
    <row r="683" spans="1:3" ht="15.75" customHeight="1" x14ac:dyDescent="0.3">
      <c r="A683" s="4"/>
      <c r="B683" s="4"/>
      <c r="C683" s="4"/>
    </row>
    <row r="684" spans="1:3" ht="15.75" customHeight="1" x14ac:dyDescent="0.3">
      <c r="A684" s="4"/>
      <c r="B684" s="4"/>
      <c r="C684" s="4"/>
    </row>
    <row r="685" spans="1:3" ht="15.75" customHeight="1" x14ac:dyDescent="0.3">
      <c r="A685" s="4"/>
      <c r="B685" s="4"/>
      <c r="C685" s="4"/>
    </row>
    <row r="686" spans="1:3" ht="15.75" customHeight="1" x14ac:dyDescent="0.3">
      <c r="A686" s="4"/>
      <c r="B686" s="4"/>
      <c r="C686" s="4"/>
    </row>
    <row r="687" spans="1:3" ht="15.75" customHeight="1" x14ac:dyDescent="0.3">
      <c r="A687" s="4"/>
      <c r="B687" s="4"/>
      <c r="C687" s="4"/>
    </row>
    <row r="688" spans="1:3" ht="15.75" customHeight="1" x14ac:dyDescent="0.3">
      <c r="A688" s="4"/>
      <c r="B688" s="4"/>
      <c r="C688" s="4"/>
    </row>
    <row r="689" spans="1:3" ht="15.75" customHeight="1" x14ac:dyDescent="0.3">
      <c r="A689" s="4"/>
      <c r="B689" s="4"/>
      <c r="C689" s="4"/>
    </row>
    <row r="690" spans="1:3" ht="15.75" customHeight="1" x14ac:dyDescent="0.3">
      <c r="A690" s="4"/>
      <c r="B690" s="4"/>
      <c r="C690" s="4"/>
    </row>
    <row r="691" spans="1:3" ht="15.75" customHeight="1" x14ac:dyDescent="0.3">
      <c r="A691" s="4"/>
      <c r="B691" s="4"/>
      <c r="C691" s="4"/>
    </row>
    <row r="692" spans="1:3" ht="15.75" customHeight="1" x14ac:dyDescent="0.3">
      <c r="A692" s="4"/>
      <c r="B692" s="4"/>
      <c r="C692" s="4"/>
    </row>
    <row r="693" spans="1:3" ht="15.75" customHeight="1" x14ac:dyDescent="0.3">
      <c r="A693" s="4"/>
      <c r="B693" s="4"/>
      <c r="C693" s="4"/>
    </row>
    <row r="694" spans="1:3" ht="15.75" customHeight="1" x14ac:dyDescent="0.3">
      <c r="A694" s="4"/>
      <c r="B694" s="4"/>
      <c r="C694" s="4"/>
    </row>
    <row r="695" spans="1:3" ht="15.75" customHeight="1" x14ac:dyDescent="0.3">
      <c r="A695" s="4"/>
      <c r="B695" s="4"/>
      <c r="C695" s="4"/>
    </row>
    <row r="696" spans="1:3" ht="15.75" customHeight="1" x14ac:dyDescent="0.3">
      <c r="A696" s="4"/>
      <c r="B696" s="4"/>
      <c r="C696" s="4"/>
    </row>
    <row r="697" spans="1:3" ht="15.75" customHeight="1" x14ac:dyDescent="0.3">
      <c r="A697" s="4"/>
      <c r="B697" s="4"/>
      <c r="C697" s="4"/>
    </row>
    <row r="698" spans="1:3" ht="15.75" customHeight="1" x14ac:dyDescent="0.3">
      <c r="A698" s="4"/>
      <c r="B698" s="4"/>
      <c r="C698" s="4"/>
    </row>
    <row r="699" spans="1:3" ht="15.75" customHeight="1" x14ac:dyDescent="0.3">
      <c r="A699" s="4"/>
      <c r="B699" s="4"/>
      <c r="C699" s="4"/>
    </row>
    <row r="700" spans="1:3" ht="15.75" customHeight="1" x14ac:dyDescent="0.3">
      <c r="A700" s="4"/>
      <c r="B700" s="4"/>
      <c r="C700" s="4"/>
    </row>
    <row r="701" spans="1:3" ht="15.75" customHeight="1" x14ac:dyDescent="0.3">
      <c r="A701" s="4"/>
      <c r="B701" s="4"/>
      <c r="C701" s="4"/>
    </row>
    <row r="702" spans="1:3" ht="15.75" customHeight="1" x14ac:dyDescent="0.3">
      <c r="A702" s="4"/>
      <c r="B702" s="4"/>
      <c r="C702" s="4"/>
    </row>
    <row r="703" spans="1:3" ht="15.75" customHeight="1" x14ac:dyDescent="0.3">
      <c r="A703" s="4"/>
      <c r="B703" s="4"/>
      <c r="C703" s="4"/>
    </row>
    <row r="704" spans="1:3" ht="15.75" customHeight="1" x14ac:dyDescent="0.3">
      <c r="A704" s="4"/>
      <c r="B704" s="4"/>
      <c r="C704" s="4"/>
    </row>
    <row r="705" spans="1:3" ht="15.75" customHeight="1" x14ac:dyDescent="0.3">
      <c r="A705" s="4"/>
      <c r="B705" s="4"/>
      <c r="C705" s="4"/>
    </row>
    <row r="706" spans="1:3" ht="15.75" customHeight="1" x14ac:dyDescent="0.3">
      <c r="A706" s="4"/>
      <c r="B706" s="4"/>
      <c r="C706" s="4"/>
    </row>
    <row r="707" spans="1:3" ht="15.75" customHeight="1" x14ac:dyDescent="0.3">
      <c r="A707" s="4"/>
      <c r="B707" s="4"/>
      <c r="C707" s="4"/>
    </row>
    <row r="708" spans="1:3" ht="15.75" customHeight="1" x14ac:dyDescent="0.3">
      <c r="A708" s="4"/>
      <c r="B708" s="4"/>
      <c r="C708" s="4"/>
    </row>
    <row r="709" spans="1:3" ht="15.75" customHeight="1" x14ac:dyDescent="0.3">
      <c r="A709" s="4"/>
      <c r="B709" s="4"/>
      <c r="C709" s="4"/>
    </row>
    <row r="710" spans="1:3" ht="15.75" customHeight="1" x14ac:dyDescent="0.3">
      <c r="A710" s="4"/>
      <c r="B710" s="4"/>
      <c r="C710" s="4"/>
    </row>
    <row r="711" spans="1:3" ht="15.75" customHeight="1" x14ac:dyDescent="0.3">
      <c r="A711" s="4"/>
      <c r="B711" s="4"/>
      <c r="C711" s="4"/>
    </row>
    <row r="712" spans="1:3" ht="15.75" customHeight="1" x14ac:dyDescent="0.3">
      <c r="A712" s="4"/>
      <c r="B712" s="4"/>
      <c r="C712" s="4"/>
    </row>
    <row r="713" spans="1:3" ht="15.75" customHeight="1" x14ac:dyDescent="0.3">
      <c r="A713" s="4"/>
      <c r="B713" s="4"/>
      <c r="C713" s="4"/>
    </row>
    <row r="714" spans="1:3" ht="15.75" customHeight="1" x14ac:dyDescent="0.3">
      <c r="A714" s="4"/>
      <c r="B714" s="4"/>
      <c r="C714" s="4"/>
    </row>
    <row r="715" spans="1:3" ht="15.75" customHeight="1" x14ac:dyDescent="0.3">
      <c r="A715" s="4"/>
      <c r="B715" s="4"/>
      <c r="C715" s="4"/>
    </row>
    <row r="716" spans="1:3" ht="15.75" customHeight="1" x14ac:dyDescent="0.3">
      <c r="A716" s="4"/>
      <c r="B716" s="4"/>
      <c r="C716" s="4"/>
    </row>
    <row r="717" spans="1:3" ht="15.75" customHeight="1" x14ac:dyDescent="0.3">
      <c r="A717" s="4"/>
      <c r="B717" s="4"/>
      <c r="C717" s="4"/>
    </row>
    <row r="718" spans="1:3" ht="15.75" customHeight="1" x14ac:dyDescent="0.3">
      <c r="A718" s="4"/>
      <c r="B718" s="4"/>
      <c r="C718" s="4"/>
    </row>
    <row r="719" spans="1:3" ht="15.75" customHeight="1" x14ac:dyDescent="0.3">
      <c r="A719" s="4"/>
      <c r="B719" s="4"/>
      <c r="C719" s="4"/>
    </row>
    <row r="720" spans="1:3" ht="15.75" customHeight="1" x14ac:dyDescent="0.3">
      <c r="A720" s="4"/>
      <c r="B720" s="4"/>
      <c r="C720" s="4"/>
    </row>
    <row r="721" spans="1:3" ht="15.75" customHeight="1" x14ac:dyDescent="0.3">
      <c r="A721" s="4"/>
      <c r="B721" s="4"/>
      <c r="C721" s="4"/>
    </row>
    <row r="722" spans="1:3" ht="15.75" customHeight="1" x14ac:dyDescent="0.3">
      <c r="A722" s="4"/>
      <c r="B722" s="4"/>
      <c r="C722" s="4"/>
    </row>
    <row r="723" spans="1:3" ht="15.75" customHeight="1" x14ac:dyDescent="0.3">
      <c r="A723" s="4"/>
      <c r="B723" s="4"/>
      <c r="C723" s="4"/>
    </row>
    <row r="724" spans="1:3" ht="15.75" customHeight="1" x14ac:dyDescent="0.3">
      <c r="A724" s="4"/>
      <c r="B724" s="4"/>
      <c r="C724" s="4"/>
    </row>
    <row r="725" spans="1:3" ht="15.75" customHeight="1" x14ac:dyDescent="0.3">
      <c r="A725" s="4"/>
      <c r="B725" s="4"/>
      <c r="C725" s="4"/>
    </row>
    <row r="726" spans="1:3" ht="15.75" customHeight="1" x14ac:dyDescent="0.3">
      <c r="A726" s="4"/>
      <c r="B726" s="4"/>
      <c r="C726" s="4"/>
    </row>
    <row r="727" spans="1:3" ht="15.75" customHeight="1" x14ac:dyDescent="0.3">
      <c r="A727" s="4"/>
      <c r="B727" s="4"/>
      <c r="C727" s="4"/>
    </row>
    <row r="728" spans="1:3" ht="15.75" customHeight="1" x14ac:dyDescent="0.3">
      <c r="A728" s="4"/>
      <c r="B728" s="4"/>
      <c r="C728" s="4"/>
    </row>
    <row r="729" spans="1:3" ht="15.75" customHeight="1" x14ac:dyDescent="0.3">
      <c r="A729" s="4"/>
      <c r="B729" s="4"/>
      <c r="C729" s="4"/>
    </row>
    <row r="730" spans="1:3" ht="15.75" customHeight="1" x14ac:dyDescent="0.3">
      <c r="A730" s="4"/>
      <c r="B730" s="4"/>
      <c r="C730" s="4"/>
    </row>
    <row r="731" spans="1:3" ht="15.75" customHeight="1" x14ac:dyDescent="0.3">
      <c r="A731" s="4"/>
      <c r="B731" s="4"/>
      <c r="C731" s="4"/>
    </row>
    <row r="732" spans="1:3" ht="15.75" customHeight="1" x14ac:dyDescent="0.3">
      <c r="A732" s="4"/>
      <c r="B732" s="4"/>
      <c r="C732" s="4"/>
    </row>
    <row r="733" spans="1:3" ht="15.75" customHeight="1" x14ac:dyDescent="0.3">
      <c r="A733" s="4"/>
      <c r="B733" s="4"/>
      <c r="C733" s="4"/>
    </row>
    <row r="734" spans="1:3" ht="15.75" customHeight="1" x14ac:dyDescent="0.3">
      <c r="A734" s="4"/>
      <c r="B734" s="4"/>
      <c r="C734" s="4"/>
    </row>
    <row r="735" spans="1:3" ht="15.75" customHeight="1" x14ac:dyDescent="0.3">
      <c r="A735" s="4"/>
      <c r="B735" s="4"/>
      <c r="C735" s="4"/>
    </row>
    <row r="736" spans="1:3" ht="15.75" customHeight="1" x14ac:dyDescent="0.3">
      <c r="A736" s="4"/>
      <c r="B736" s="4"/>
      <c r="C736" s="4"/>
    </row>
    <row r="737" spans="1:3" ht="15.75" customHeight="1" x14ac:dyDescent="0.3">
      <c r="A737" s="4"/>
      <c r="B737" s="4"/>
      <c r="C737" s="4"/>
    </row>
    <row r="738" spans="1:3" ht="15.75" customHeight="1" x14ac:dyDescent="0.3">
      <c r="A738" s="4"/>
      <c r="B738" s="4"/>
      <c r="C738" s="4"/>
    </row>
    <row r="739" spans="1:3" ht="15.75" customHeight="1" x14ac:dyDescent="0.3">
      <c r="A739" s="4"/>
      <c r="B739" s="4"/>
      <c r="C739" s="4"/>
    </row>
    <row r="740" spans="1:3" ht="15.75" customHeight="1" x14ac:dyDescent="0.3">
      <c r="A740" s="4"/>
      <c r="B740" s="4"/>
      <c r="C740" s="4"/>
    </row>
    <row r="741" spans="1:3" ht="15.75" customHeight="1" x14ac:dyDescent="0.3">
      <c r="A741" s="4"/>
      <c r="B741" s="4"/>
      <c r="C741" s="4"/>
    </row>
    <row r="742" spans="1:3" ht="15.75" customHeight="1" x14ac:dyDescent="0.3">
      <c r="A742" s="4"/>
      <c r="B742" s="4"/>
      <c r="C742" s="4"/>
    </row>
    <row r="743" spans="1:3" ht="15.75" customHeight="1" x14ac:dyDescent="0.3">
      <c r="A743" s="4"/>
      <c r="B743" s="4"/>
      <c r="C743" s="4"/>
    </row>
    <row r="744" spans="1:3" ht="15.75" customHeight="1" x14ac:dyDescent="0.3">
      <c r="A744" s="4"/>
      <c r="B744" s="4"/>
      <c r="C744" s="4"/>
    </row>
    <row r="745" spans="1:3" ht="15.75" customHeight="1" x14ac:dyDescent="0.3">
      <c r="A745" s="4"/>
      <c r="B745" s="4"/>
      <c r="C745" s="4"/>
    </row>
    <row r="746" spans="1:3" ht="15.75" customHeight="1" x14ac:dyDescent="0.3">
      <c r="A746" s="4"/>
      <c r="B746" s="4"/>
      <c r="C746" s="4"/>
    </row>
    <row r="747" spans="1:3" ht="15.75" customHeight="1" x14ac:dyDescent="0.3">
      <c r="A747" s="4"/>
      <c r="B747" s="4"/>
      <c r="C747" s="4"/>
    </row>
    <row r="748" spans="1:3" ht="15.75" customHeight="1" x14ac:dyDescent="0.3">
      <c r="A748" s="4"/>
      <c r="B748" s="4"/>
      <c r="C748" s="4"/>
    </row>
    <row r="749" spans="1:3" ht="15.75" customHeight="1" x14ac:dyDescent="0.3">
      <c r="A749" s="4"/>
      <c r="B749" s="4"/>
      <c r="C749" s="4"/>
    </row>
    <row r="750" spans="1:3" ht="15.75" customHeight="1" x14ac:dyDescent="0.3">
      <c r="A750" s="4"/>
      <c r="B750" s="4"/>
      <c r="C750" s="4"/>
    </row>
    <row r="751" spans="1:3" ht="15.75" customHeight="1" x14ac:dyDescent="0.3">
      <c r="A751" s="4"/>
      <c r="B751" s="4"/>
      <c r="C751" s="4"/>
    </row>
    <row r="752" spans="1:3" ht="15.75" customHeight="1" x14ac:dyDescent="0.3">
      <c r="A752" s="4"/>
      <c r="B752" s="4"/>
      <c r="C752" s="4"/>
    </row>
    <row r="753" spans="1:3" ht="15.75" customHeight="1" x14ac:dyDescent="0.3">
      <c r="A753" s="4"/>
      <c r="B753" s="4"/>
      <c r="C753" s="4"/>
    </row>
    <row r="754" spans="1:3" ht="15.75" customHeight="1" x14ac:dyDescent="0.3">
      <c r="A754" s="4"/>
      <c r="B754" s="4"/>
      <c r="C754" s="4"/>
    </row>
    <row r="755" spans="1:3" ht="15.75" customHeight="1" x14ac:dyDescent="0.3">
      <c r="A755" s="4"/>
      <c r="B755" s="4"/>
      <c r="C755" s="4"/>
    </row>
    <row r="756" spans="1:3" ht="15.75" customHeight="1" x14ac:dyDescent="0.3">
      <c r="A756" s="4"/>
      <c r="B756" s="4"/>
      <c r="C756" s="4"/>
    </row>
    <row r="757" spans="1:3" ht="15.75" customHeight="1" x14ac:dyDescent="0.3">
      <c r="A757" s="4"/>
      <c r="B757" s="4"/>
      <c r="C757" s="4"/>
    </row>
    <row r="758" spans="1:3" ht="15.75" customHeight="1" x14ac:dyDescent="0.3">
      <c r="A758" s="4"/>
      <c r="B758" s="4"/>
      <c r="C758" s="4"/>
    </row>
    <row r="759" spans="1:3" ht="15.75" customHeight="1" x14ac:dyDescent="0.3">
      <c r="A759" s="4"/>
      <c r="B759" s="4"/>
      <c r="C759" s="4"/>
    </row>
    <row r="760" spans="1:3" ht="15.75" customHeight="1" x14ac:dyDescent="0.3">
      <c r="A760" s="4"/>
      <c r="B760" s="4"/>
      <c r="C760" s="4"/>
    </row>
    <row r="761" spans="1:3" ht="15.75" customHeight="1" x14ac:dyDescent="0.3">
      <c r="A761" s="4"/>
      <c r="B761" s="4"/>
      <c r="C761" s="4"/>
    </row>
    <row r="762" spans="1:3" ht="15.75" customHeight="1" x14ac:dyDescent="0.3">
      <c r="A762" s="4"/>
      <c r="B762" s="4"/>
      <c r="C762" s="4"/>
    </row>
    <row r="763" spans="1:3" ht="15.75" customHeight="1" x14ac:dyDescent="0.3">
      <c r="A763" s="4"/>
      <c r="B763" s="4"/>
      <c r="C763" s="4"/>
    </row>
    <row r="764" spans="1:3" ht="15.75" customHeight="1" x14ac:dyDescent="0.3">
      <c r="A764" s="4"/>
      <c r="B764" s="4"/>
      <c r="C764" s="4"/>
    </row>
    <row r="765" spans="1:3" ht="15.75" customHeight="1" x14ac:dyDescent="0.3">
      <c r="A765" s="4"/>
      <c r="B765" s="4"/>
      <c r="C765" s="4"/>
    </row>
    <row r="766" spans="1:3" ht="15.75" customHeight="1" x14ac:dyDescent="0.3">
      <c r="A766" s="4"/>
      <c r="B766" s="4"/>
      <c r="C766" s="4"/>
    </row>
    <row r="767" spans="1:3" ht="15.75" customHeight="1" x14ac:dyDescent="0.3">
      <c r="A767" s="4"/>
      <c r="B767" s="4"/>
      <c r="C767" s="4"/>
    </row>
    <row r="768" spans="1:3" ht="15.75" customHeight="1" x14ac:dyDescent="0.3">
      <c r="A768" s="4"/>
      <c r="B768" s="4"/>
      <c r="C768" s="4"/>
    </row>
    <row r="769" spans="1:3" ht="15.75" customHeight="1" x14ac:dyDescent="0.3">
      <c r="A769" s="4"/>
      <c r="B769" s="4"/>
      <c r="C769" s="4"/>
    </row>
    <row r="770" spans="1:3" ht="15.75" customHeight="1" x14ac:dyDescent="0.3">
      <c r="A770" s="4"/>
      <c r="B770" s="4"/>
      <c r="C770" s="4"/>
    </row>
    <row r="771" spans="1:3" ht="15.75" customHeight="1" x14ac:dyDescent="0.3">
      <c r="A771" s="4"/>
      <c r="B771" s="4"/>
      <c r="C771" s="4"/>
    </row>
    <row r="772" spans="1:3" ht="15.75" customHeight="1" x14ac:dyDescent="0.3">
      <c r="A772" s="4"/>
      <c r="B772" s="4"/>
      <c r="C772" s="4"/>
    </row>
    <row r="773" spans="1:3" ht="15.75" customHeight="1" x14ac:dyDescent="0.3">
      <c r="A773" s="4"/>
      <c r="B773" s="4"/>
      <c r="C773" s="4"/>
    </row>
    <row r="774" spans="1:3" ht="15.75" customHeight="1" x14ac:dyDescent="0.3">
      <c r="A774" s="4"/>
      <c r="B774" s="4"/>
      <c r="C774" s="4"/>
    </row>
    <row r="775" spans="1:3" ht="15.75" customHeight="1" x14ac:dyDescent="0.3">
      <c r="A775" s="4"/>
      <c r="B775" s="4"/>
      <c r="C775" s="4"/>
    </row>
    <row r="776" spans="1:3" ht="15.75" customHeight="1" x14ac:dyDescent="0.3">
      <c r="A776" s="4"/>
      <c r="B776" s="4"/>
      <c r="C776" s="4"/>
    </row>
    <row r="777" spans="1:3" ht="15.75" customHeight="1" x14ac:dyDescent="0.3">
      <c r="A777" s="4"/>
      <c r="B777" s="4"/>
      <c r="C777" s="4"/>
    </row>
    <row r="778" spans="1:3" ht="15.75" customHeight="1" x14ac:dyDescent="0.3">
      <c r="A778" s="4"/>
      <c r="B778" s="4"/>
      <c r="C778" s="4"/>
    </row>
    <row r="779" spans="1:3" ht="15.75" customHeight="1" x14ac:dyDescent="0.3">
      <c r="A779" s="4"/>
      <c r="B779" s="4"/>
      <c r="C779" s="4"/>
    </row>
    <row r="780" spans="1:3" ht="15.75" customHeight="1" x14ac:dyDescent="0.3">
      <c r="A780" s="4"/>
      <c r="B780" s="4"/>
      <c r="C780" s="4"/>
    </row>
    <row r="781" spans="1:3" ht="15.75" customHeight="1" x14ac:dyDescent="0.3">
      <c r="A781" s="4"/>
      <c r="B781" s="4"/>
      <c r="C781" s="4"/>
    </row>
    <row r="782" spans="1:3" ht="15.75" customHeight="1" x14ac:dyDescent="0.3">
      <c r="A782" s="4"/>
      <c r="B782" s="4"/>
      <c r="C782" s="4"/>
    </row>
    <row r="783" spans="1:3" ht="15.75" customHeight="1" x14ac:dyDescent="0.3">
      <c r="A783" s="4"/>
      <c r="B783" s="4"/>
      <c r="C783" s="4"/>
    </row>
    <row r="784" spans="1:3" ht="15.75" customHeight="1" x14ac:dyDescent="0.3">
      <c r="A784" s="4"/>
      <c r="B784" s="4"/>
      <c r="C784" s="4"/>
    </row>
    <row r="785" spans="1:3" ht="15.75" customHeight="1" x14ac:dyDescent="0.3">
      <c r="A785" s="4"/>
      <c r="B785" s="4"/>
      <c r="C785" s="4"/>
    </row>
    <row r="786" spans="1:3" ht="15.75" customHeight="1" x14ac:dyDescent="0.3">
      <c r="A786" s="4"/>
      <c r="B786" s="4"/>
      <c r="C786" s="4"/>
    </row>
    <row r="787" spans="1:3" ht="15.75" customHeight="1" x14ac:dyDescent="0.3">
      <c r="A787" s="4"/>
      <c r="B787" s="4"/>
      <c r="C787" s="4"/>
    </row>
    <row r="788" spans="1:3" ht="15.75" customHeight="1" x14ac:dyDescent="0.3">
      <c r="A788" s="4"/>
      <c r="B788" s="4"/>
      <c r="C788" s="4"/>
    </row>
    <row r="789" spans="1:3" ht="15.75" customHeight="1" x14ac:dyDescent="0.3">
      <c r="A789" s="4"/>
      <c r="B789" s="4"/>
      <c r="C789" s="4"/>
    </row>
    <row r="790" spans="1:3" ht="15.75" customHeight="1" x14ac:dyDescent="0.3">
      <c r="A790" s="4"/>
      <c r="B790" s="4"/>
      <c r="C790" s="4"/>
    </row>
    <row r="791" spans="1:3" ht="15.75" customHeight="1" x14ac:dyDescent="0.3">
      <c r="A791" s="4"/>
      <c r="B791" s="4"/>
      <c r="C791" s="4"/>
    </row>
    <row r="792" spans="1:3" ht="15.75" customHeight="1" x14ac:dyDescent="0.3">
      <c r="A792" s="4"/>
      <c r="B792" s="4"/>
      <c r="C792" s="4"/>
    </row>
    <row r="793" spans="1:3" ht="15.75" customHeight="1" x14ac:dyDescent="0.3">
      <c r="A793" s="4"/>
      <c r="B793" s="4"/>
      <c r="C793" s="4"/>
    </row>
    <row r="794" spans="1:3" ht="15.75" customHeight="1" x14ac:dyDescent="0.3">
      <c r="A794" s="4"/>
      <c r="B794" s="4"/>
      <c r="C794" s="4"/>
    </row>
    <row r="795" spans="1:3" ht="15.75" customHeight="1" x14ac:dyDescent="0.3">
      <c r="A795" s="4"/>
      <c r="B795" s="4"/>
      <c r="C795" s="4"/>
    </row>
    <row r="796" spans="1:3" ht="15.75" customHeight="1" x14ac:dyDescent="0.3">
      <c r="A796" s="4"/>
      <c r="B796" s="4"/>
      <c r="C796" s="4"/>
    </row>
    <row r="797" spans="1:3" ht="15.75" customHeight="1" x14ac:dyDescent="0.3">
      <c r="A797" s="4"/>
      <c r="B797" s="4"/>
      <c r="C797" s="4"/>
    </row>
    <row r="798" spans="1:3" ht="15.75" customHeight="1" x14ac:dyDescent="0.3">
      <c r="A798" s="4"/>
      <c r="B798" s="4"/>
      <c r="C798" s="4"/>
    </row>
    <row r="799" spans="1:3" ht="15.75" customHeight="1" x14ac:dyDescent="0.3">
      <c r="A799" s="4"/>
      <c r="B799" s="4"/>
      <c r="C799" s="4"/>
    </row>
    <row r="800" spans="1:3" ht="15.75" customHeight="1" x14ac:dyDescent="0.3">
      <c r="A800" s="4"/>
      <c r="B800" s="4"/>
      <c r="C800" s="4"/>
    </row>
    <row r="801" spans="1:3" ht="15.75" customHeight="1" x14ac:dyDescent="0.3">
      <c r="A801" s="4"/>
      <c r="B801" s="4"/>
      <c r="C801" s="4"/>
    </row>
    <row r="802" spans="1:3" ht="15.75" customHeight="1" x14ac:dyDescent="0.3">
      <c r="A802" s="4"/>
      <c r="B802" s="4"/>
      <c r="C802" s="4"/>
    </row>
    <row r="803" spans="1:3" ht="15.75" customHeight="1" x14ac:dyDescent="0.3">
      <c r="A803" s="4"/>
      <c r="B803" s="4"/>
      <c r="C803" s="4"/>
    </row>
    <row r="804" spans="1:3" ht="15.75" customHeight="1" x14ac:dyDescent="0.3">
      <c r="A804" s="4"/>
      <c r="B804" s="4"/>
      <c r="C804" s="4"/>
    </row>
    <row r="805" spans="1:3" ht="15.75" customHeight="1" x14ac:dyDescent="0.3">
      <c r="A805" s="4"/>
      <c r="B805" s="4"/>
      <c r="C805" s="4"/>
    </row>
    <row r="806" spans="1:3" ht="15.75" customHeight="1" x14ac:dyDescent="0.3">
      <c r="A806" s="4"/>
      <c r="B806" s="4"/>
      <c r="C806" s="4"/>
    </row>
    <row r="807" spans="1:3" ht="15.75" customHeight="1" x14ac:dyDescent="0.3">
      <c r="A807" s="4"/>
      <c r="B807" s="4"/>
      <c r="C807" s="4"/>
    </row>
    <row r="808" spans="1:3" ht="15.75" customHeight="1" x14ac:dyDescent="0.3">
      <c r="A808" s="4"/>
      <c r="B808" s="4"/>
      <c r="C808" s="4"/>
    </row>
    <row r="809" spans="1:3" ht="15.75" customHeight="1" x14ac:dyDescent="0.3">
      <c r="A809" s="4"/>
      <c r="B809" s="4"/>
      <c r="C809" s="4"/>
    </row>
    <row r="810" spans="1:3" ht="15.75" customHeight="1" x14ac:dyDescent="0.3">
      <c r="A810" s="4"/>
      <c r="B810" s="4"/>
      <c r="C810" s="4"/>
    </row>
    <row r="811" spans="1:3" ht="15.75" customHeight="1" x14ac:dyDescent="0.3">
      <c r="A811" s="4"/>
      <c r="B811" s="4"/>
      <c r="C811" s="4"/>
    </row>
    <row r="812" spans="1:3" ht="15.75" customHeight="1" x14ac:dyDescent="0.3">
      <c r="A812" s="4"/>
      <c r="B812" s="4"/>
      <c r="C812" s="4"/>
    </row>
    <row r="813" spans="1:3" ht="15.75" customHeight="1" x14ac:dyDescent="0.3">
      <c r="A813" s="4"/>
      <c r="B813" s="4"/>
      <c r="C813" s="4"/>
    </row>
    <row r="814" spans="1:3" ht="15.75" customHeight="1" x14ac:dyDescent="0.3">
      <c r="A814" s="4"/>
      <c r="B814" s="4"/>
      <c r="C814" s="4"/>
    </row>
    <row r="815" spans="1:3" ht="15.75" customHeight="1" x14ac:dyDescent="0.3">
      <c r="A815" s="4"/>
      <c r="B815" s="4"/>
      <c r="C815" s="4"/>
    </row>
    <row r="816" spans="1:3" ht="15.75" customHeight="1" x14ac:dyDescent="0.3">
      <c r="A816" s="4"/>
      <c r="B816" s="4"/>
      <c r="C816" s="4"/>
    </row>
    <row r="817" spans="1:3" ht="15.75" customHeight="1" x14ac:dyDescent="0.3">
      <c r="A817" s="4"/>
      <c r="B817" s="4"/>
      <c r="C817" s="4"/>
    </row>
    <row r="818" spans="1:3" ht="15.75" customHeight="1" x14ac:dyDescent="0.3">
      <c r="A818" s="4"/>
      <c r="B818" s="4"/>
      <c r="C818" s="4"/>
    </row>
    <row r="819" spans="1:3" ht="15.75" customHeight="1" x14ac:dyDescent="0.3">
      <c r="A819" s="4"/>
      <c r="B819" s="4"/>
      <c r="C819" s="4"/>
    </row>
    <row r="820" spans="1:3" ht="15.75" customHeight="1" x14ac:dyDescent="0.3">
      <c r="A820" s="4"/>
      <c r="B820" s="4"/>
      <c r="C820" s="4"/>
    </row>
    <row r="821" spans="1:3" ht="15.75" customHeight="1" x14ac:dyDescent="0.3">
      <c r="A821" s="4"/>
      <c r="B821" s="4"/>
      <c r="C821" s="4"/>
    </row>
    <row r="822" spans="1:3" ht="15.75" customHeight="1" x14ac:dyDescent="0.3">
      <c r="A822" s="4"/>
      <c r="B822" s="4"/>
      <c r="C822" s="4"/>
    </row>
    <row r="823" spans="1:3" ht="15.75" customHeight="1" x14ac:dyDescent="0.3">
      <c r="A823" s="4"/>
      <c r="B823" s="4"/>
      <c r="C823" s="4"/>
    </row>
    <row r="824" spans="1:3" ht="15.75" customHeight="1" x14ac:dyDescent="0.3">
      <c r="A824" s="4"/>
      <c r="B824" s="4"/>
      <c r="C824" s="4"/>
    </row>
    <row r="825" spans="1:3" ht="15.75" customHeight="1" x14ac:dyDescent="0.3">
      <c r="A825" s="4"/>
      <c r="B825" s="4"/>
      <c r="C825" s="4"/>
    </row>
    <row r="826" spans="1:3" ht="15.75" customHeight="1" x14ac:dyDescent="0.3">
      <c r="A826" s="4"/>
      <c r="B826" s="4"/>
      <c r="C826" s="4"/>
    </row>
    <row r="827" spans="1:3" ht="15.75" customHeight="1" x14ac:dyDescent="0.3">
      <c r="A827" s="4"/>
      <c r="B827" s="4"/>
      <c r="C827" s="4"/>
    </row>
    <row r="828" spans="1:3" ht="15.75" customHeight="1" x14ac:dyDescent="0.3">
      <c r="A828" s="4"/>
      <c r="B828" s="4"/>
      <c r="C828" s="4"/>
    </row>
    <row r="829" spans="1:3" ht="15.75" customHeight="1" x14ac:dyDescent="0.3">
      <c r="A829" s="4"/>
      <c r="B829" s="4"/>
      <c r="C829" s="4"/>
    </row>
    <row r="830" spans="1:3" ht="15.75" customHeight="1" x14ac:dyDescent="0.3">
      <c r="A830" s="4"/>
      <c r="B830" s="4"/>
      <c r="C830" s="4"/>
    </row>
    <row r="831" spans="1:3" ht="15.75" customHeight="1" x14ac:dyDescent="0.3">
      <c r="A831" s="4"/>
      <c r="B831" s="4"/>
      <c r="C831" s="4"/>
    </row>
    <row r="832" spans="1:3" ht="15.75" customHeight="1" x14ac:dyDescent="0.3">
      <c r="A832" s="4"/>
      <c r="B832" s="4"/>
      <c r="C832" s="4"/>
    </row>
    <row r="833" spans="1:3" ht="15.75" customHeight="1" x14ac:dyDescent="0.3">
      <c r="A833" s="4"/>
      <c r="B833" s="4"/>
      <c r="C833" s="4"/>
    </row>
    <row r="834" spans="1:3" ht="15.75" customHeight="1" x14ac:dyDescent="0.3">
      <c r="A834" s="4"/>
      <c r="B834" s="4"/>
      <c r="C834" s="4"/>
    </row>
    <row r="835" spans="1:3" ht="15.75" customHeight="1" x14ac:dyDescent="0.3">
      <c r="A835" s="4"/>
      <c r="B835" s="4"/>
      <c r="C835" s="4"/>
    </row>
    <row r="836" spans="1:3" ht="15.75" customHeight="1" x14ac:dyDescent="0.3">
      <c r="A836" s="4"/>
      <c r="B836" s="4"/>
      <c r="C836" s="4"/>
    </row>
    <row r="837" spans="1:3" ht="15.75" customHeight="1" x14ac:dyDescent="0.3">
      <c r="A837" s="4"/>
      <c r="B837" s="4"/>
      <c r="C837" s="4"/>
    </row>
    <row r="838" spans="1:3" ht="15.75" customHeight="1" x14ac:dyDescent="0.3">
      <c r="A838" s="4"/>
      <c r="B838" s="4"/>
      <c r="C838" s="4"/>
    </row>
    <row r="839" spans="1:3" ht="15.75" customHeight="1" x14ac:dyDescent="0.3">
      <c r="A839" s="4"/>
      <c r="B839" s="4"/>
      <c r="C839" s="4"/>
    </row>
    <row r="840" spans="1:3" ht="15.75" customHeight="1" x14ac:dyDescent="0.3">
      <c r="A840" s="4"/>
      <c r="B840" s="4"/>
      <c r="C840" s="4"/>
    </row>
    <row r="841" spans="1:3" ht="15.75" customHeight="1" x14ac:dyDescent="0.3">
      <c r="A841" s="4"/>
      <c r="B841" s="4"/>
      <c r="C841" s="4"/>
    </row>
    <row r="842" spans="1:3" ht="15.75" customHeight="1" x14ac:dyDescent="0.3">
      <c r="A842" s="4"/>
      <c r="B842" s="4"/>
      <c r="C842" s="4"/>
    </row>
    <row r="843" spans="1:3" ht="15.75" customHeight="1" x14ac:dyDescent="0.3">
      <c r="A843" s="4"/>
      <c r="B843" s="4"/>
      <c r="C843" s="4"/>
    </row>
    <row r="844" spans="1:3" ht="15.75" customHeight="1" x14ac:dyDescent="0.3">
      <c r="A844" s="4"/>
      <c r="B844" s="4"/>
      <c r="C844" s="4"/>
    </row>
    <row r="845" spans="1:3" ht="15.75" customHeight="1" x14ac:dyDescent="0.3">
      <c r="A845" s="4"/>
      <c r="B845" s="4"/>
      <c r="C845" s="4"/>
    </row>
    <row r="846" spans="1:3" ht="15.75" customHeight="1" x14ac:dyDescent="0.3">
      <c r="A846" s="4"/>
      <c r="B846" s="4"/>
      <c r="C846" s="4"/>
    </row>
    <row r="847" spans="1:3" ht="15.75" customHeight="1" x14ac:dyDescent="0.3">
      <c r="A847" s="4"/>
      <c r="B847" s="4"/>
      <c r="C847" s="4"/>
    </row>
    <row r="848" spans="1:3" ht="15.75" customHeight="1" x14ac:dyDescent="0.3">
      <c r="A848" s="4"/>
      <c r="B848" s="4"/>
      <c r="C848" s="4"/>
    </row>
    <row r="849" spans="1:3" ht="15.75" customHeight="1" x14ac:dyDescent="0.3">
      <c r="A849" s="4"/>
      <c r="B849" s="4"/>
      <c r="C849" s="4"/>
    </row>
    <row r="850" spans="1:3" ht="15.75" customHeight="1" x14ac:dyDescent="0.3">
      <c r="A850" s="4"/>
      <c r="B850" s="4"/>
      <c r="C850" s="4"/>
    </row>
    <row r="851" spans="1:3" ht="15.75" customHeight="1" x14ac:dyDescent="0.3">
      <c r="A851" s="4"/>
      <c r="B851" s="4"/>
      <c r="C851" s="4"/>
    </row>
    <row r="852" spans="1:3" ht="15.75" customHeight="1" x14ac:dyDescent="0.3">
      <c r="A852" s="4"/>
      <c r="B852" s="4"/>
      <c r="C852" s="4"/>
    </row>
    <row r="853" spans="1:3" ht="15.75" customHeight="1" x14ac:dyDescent="0.3">
      <c r="A853" s="4"/>
      <c r="B853" s="4"/>
      <c r="C853" s="4"/>
    </row>
    <row r="854" spans="1:3" ht="15.75" customHeight="1" x14ac:dyDescent="0.3">
      <c r="A854" s="4"/>
      <c r="B854" s="4"/>
      <c r="C854" s="4"/>
    </row>
    <row r="855" spans="1:3" ht="15.75" customHeight="1" x14ac:dyDescent="0.3">
      <c r="A855" s="4"/>
      <c r="B855" s="4"/>
      <c r="C855" s="4"/>
    </row>
    <row r="856" spans="1:3" ht="15.75" customHeight="1" x14ac:dyDescent="0.3">
      <c r="A856" s="4"/>
      <c r="B856" s="4"/>
      <c r="C856" s="4"/>
    </row>
    <row r="857" spans="1:3" ht="15.75" customHeight="1" x14ac:dyDescent="0.3">
      <c r="A857" s="4"/>
      <c r="B857" s="4"/>
      <c r="C857" s="4"/>
    </row>
    <row r="858" spans="1:3" ht="15.75" customHeight="1" x14ac:dyDescent="0.3">
      <c r="A858" s="4"/>
      <c r="B858" s="4"/>
      <c r="C858" s="4"/>
    </row>
    <row r="859" spans="1:3" ht="15.75" customHeight="1" x14ac:dyDescent="0.3">
      <c r="A859" s="4"/>
      <c r="B859" s="4"/>
      <c r="C859" s="4"/>
    </row>
    <row r="860" spans="1:3" ht="15.75" customHeight="1" x14ac:dyDescent="0.3">
      <c r="A860" s="4"/>
      <c r="B860" s="4"/>
      <c r="C860" s="4"/>
    </row>
    <row r="861" spans="1:3" ht="15.75" customHeight="1" x14ac:dyDescent="0.3">
      <c r="A861" s="4"/>
      <c r="B861" s="4"/>
      <c r="C861" s="4"/>
    </row>
    <row r="862" spans="1:3" ht="15.75" customHeight="1" x14ac:dyDescent="0.3">
      <c r="A862" s="4"/>
      <c r="B862" s="4"/>
      <c r="C862" s="4"/>
    </row>
    <row r="863" spans="1:3" ht="15.75" customHeight="1" x14ac:dyDescent="0.3">
      <c r="A863" s="4"/>
      <c r="B863" s="4"/>
      <c r="C863" s="4"/>
    </row>
    <row r="864" spans="1:3" ht="15.75" customHeight="1" x14ac:dyDescent="0.3">
      <c r="A864" s="4"/>
      <c r="B864" s="4"/>
      <c r="C864" s="4"/>
    </row>
    <row r="865" spans="1:3" ht="15.75" customHeight="1" x14ac:dyDescent="0.3">
      <c r="A865" s="4"/>
      <c r="B865" s="4"/>
      <c r="C865" s="4"/>
    </row>
    <row r="866" spans="1:3" ht="15.75" customHeight="1" x14ac:dyDescent="0.3">
      <c r="A866" s="4"/>
      <c r="B866" s="4"/>
      <c r="C866" s="4"/>
    </row>
    <row r="867" spans="1:3" ht="15.75" customHeight="1" x14ac:dyDescent="0.3">
      <c r="A867" s="4"/>
      <c r="B867" s="4"/>
      <c r="C867" s="4"/>
    </row>
    <row r="868" spans="1:3" ht="15.75" customHeight="1" x14ac:dyDescent="0.3">
      <c r="A868" s="4"/>
      <c r="B868" s="4"/>
      <c r="C868" s="4"/>
    </row>
    <row r="869" spans="1:3" ht="15.75" customHeight="1" x14ac:dyDescent="0.3">
      <c r="A869" s="4"/>
      <c r="B869" s="4"/>
      <c r="C869" s="4"/>
    </row>
    <row r="870" spans="1:3" ht="15.75" customHeight="1" x14ac:dyDescent="0.3">
      <c r="A870" s="4"/>
      <c r="B870" s="4"/>
      <c r="C870" s="4"/>
    </row>
    <row r="871" spans="1:3" ht="15.75" customHeight="1" x14ac:dyDescent="0.3">
      <c r="A871" s="4"/>
      <c r="B871" s="4"/>
      <c r="C871" s="4"/>
    </row>
    <row r="872" spans="1:3" ht="15.75" customHeight="1" x14ac:dyDescent="0.3">
      <c r="A872" s="4"/>
      <c r="B872" s="4"/>
      <c r="C872" s="4"/>
    </row>
    <row r="873" spans="1:3" ht="15.75" customHeight="1" x14ac:dyDescent="0.3">
      <c r="A873" s="4"/>
      <c r="B873" s="4"/>
      <c r="C873" s="4"/>
    </row>
    <row r="874" spans="1:3" ht="15.75" customHeight="1" x14ac:dyDescent="0.3">
      <c r="A874" s="4"/>
      <c r="B874" s="4"/>
      <c r="C874" s="4"/>
    </row>
    <row r="875" spans="1:3" ht="15.75" customHeight="1" x14ac:dyDescent="0.3">
      <c r="A875" s="4"/>
      <c r="B875" s="4"/>
      <c r="C875" s="4"/>
    </row>
    <row r="876" spans="1:3" ht="15.75" customHeight="1" x14ac:dyDescent="0.3">
      <c r="A876" s="4"/>
      <c r="B876" s="4"/>
      <c r="C876" s="4"/>
    </row>
    <row r="877" spans="1:3" ht="15.75" customHeight="1" x14ac:dyDescent="0.3">
      <c r="A877" s="4"/>
      <c r="B877" s="4"/>
      <c r="C877" s="4"/>
    </row>
    <row r="878" spans="1:3" ht="15.75" customHeight="1" x14ac:dyDescent="0.3">
      <c r="A878" s="4"/>
      <c r="B878" s="4"/>
      <c r="C878" s="4"/>
    </row>
    <row r="879" spans="1:3" ht="15.75" customHeight="1" x14ac:dyDescent="0.3">
      <c r="A879" s="4"/>
      <c r="B879" s="4"/>
      <c r="C879" s="4"/>
    </row>
    <row r="880" spans="1:3" ht="15.75" customHeight="1" x14ac:dyDescent="0.3">
      <c r="A880" s="4"/>
      <c r="B880" s="4"/>
      <c r="C880" s="4"/>
    </row>
    <row r="881" spans="1:3" ht="15.75" customHeight="1" x14ac:dyDescent="0.3">
      <c r="A881" s="4"/>
      <c r="B881" s="4"/>
      <c r="C881" s="4"/>
    </row>
    <row r="882" spans="1:3" ht="15.75" customHeight="1" x14ac:dyDescent="0.3">
      <c r="A882" s="4"/>
      <c r="B882" s="4"/>
      <c r="C882" s="4"/>
    </row>
    <row r="883" spans="1:3" ht="15.75" customHeight="1" x14ac:dyDescent="0.3">
      <c r="A883" s="4"/>
      <c r="B883" s="4"/>
      <c r="C883" s="4"/>
    </row>
    <row r="884" spans="1:3" ht="15.75" customHeight="1" x14ac:dyDescent="0.3">
      <c r="A884" s="4"/>
      <c r="B884" s="4"/>
      <c r="C884" s="4"/>
    </row>
    <row r="885" spans="1:3" ht="15.75" customHeight="1" x14ac:dyDescent="0.3">
      <c r="A885" s="4"/>
      <c r="B885" s="4"/>
      <c r="C885" s="4"/>
    </row>
    <row r="886" spans="1:3" ht="15.75" customHeight="1" x14ac:dyDescent="0.3">
      <c r="A886" s="4"/>
      <c r="B886" s="4"/>
      <c r="C886" s="4"/>
    </row>
    <row r="887" spans="1:3" ht="15.75" customHeight="1" x14ac:dyDescent="0.3">
      <c r="A887" s="4"/>
      <c r="B887" s="4"/>
      <c r="C887" s="4"/>
    </row>
    <row r="888" spans="1:3" ht="15.75" customHeight="1" x14ac:dyDescent="0.3">
      <c r="A888" s="4"/>
      <c r="B888" s="4"/>
      <c r="C888" s="4"/>
    </row>
    <row r="889" spans="1:3" ht="15.75" customHeight="1" x14ac:dyDescent="0.3">
      <c r="A889" s="4"/>
      <c r="B889" s="4"/>
      <c r="C889" s="4"/>
    </row>
    <row r="890" spans="1:3" ht="15.75" customHeight="1" x14ac:dyDescent="0.3">
      <c r="A890" s="4"/>
      <c r="B890" s="4"/>
      <c r="C890" s="4"/>
    </row>
    <row r="891" spans="1:3" ht="15.75" customHeight="1" x14ac:dyDescent="0.3">
      <c r="A891" s="4"/>
      <c r="B891" s="4"/>
      <c r="C891" s="4"/>
    </row>
    <row r="892" spans="1:3" ht="15.75" customHeight="1" x14ac:dyDescent="0.3">
      <c r="A892" s="4"/>
      <c r="B892" s="4"/>
      <c r="C892" s="4"/>
    </row>
    <row r="893" spans="1:3" ht="15.75" customHeight="1" x14ac:dyDescent="0.3">
      <c r="A893" s="4"/>
      <c r="B893" s="4"/>
      <c r="C893" s="4"/>
    </row>
    <row r="894" spans="1:3" ht="15.75" customHeight="1" x14ac:dyDescent="0.3">
      <c r="A894" s="4"/>
      <c r="B894" s="4"/>
      <c r="C894" s="4"/>
    </row>
    <row r="895" spans="1:3" ht="15.75" customHeight="1" x14ac:dyDescent="0.3">
      <c r="A895" s="4"/>
      <c r="B895" s="4"/>
      <c r="C895" s="4"/>
    </row>
    <row r="896" spans="1:3" ht="15.75" customHeight="1" x14ac:dyDescent="0.3">
      <c r="A896" s="4"/>
      <c r="B896" s="4"/>
      <c r="C896" s="4"/>
    </row>
    <row r="897" spans="1:3" ht="15.75" customHeight="1" x14ac:dyDescent="0.3">
      <c r="A897" s="4"/>
      <c r="B897" s="4"/>
      <c r="C897" s="4"/>
    </row>
    <row r="898" spans="1:3" ht="15.75" customHeight="1" x14ac:dyDescent="0.3">
      <c r="A898" s="4"/>
      <c r="B898" s="4"/>
      <c r="C898" s="4"/>
    </row>
    <row r="899" spans="1:3" ht="15.75" customHeight="1" x14ac:dyDescent="0.3">
      <c r="A899" s="4"/>
      <c r="B899" s="4"/>
      <c r="C899" s="4"/>
    </row>
    <row r="900" spans="1:3" ht="15.75" customHeight="1" x14ac:dyDescent="0.3">
      <c r="A900" s="4"/>
      <c r="B900" s="4"/>
      <c r="C900" s="4"/>
    </row>
    <row r="901" spans="1:3" ht="15.75" customHeight="1" x14ac:dyDescent="0.3">
      <c r="A901" s="4"/>
      <c r="B901" s="4"/>
      <c r="C901" s="4"/>
    </row>
    <row r="902" spans="1:3" ht="15.75" customHeight="1" x14ac:dyDescent="0.3">
      <c r="A902" s="4"/>
      <c r="B902" s="4"/>
      <c r="C902" s="4"/>
    </row>
    <row r="903" spans="1:3" ht="15.75" customHeight="1" x14ac:dyDescent="0.3">
      <c r="A903" s="4"/>
      <c r="B903" s="4"/>
      <c r="C903" s="4"/>
    </row>
    <row r="904" spans="1:3" ht="15.75" customHeight="1" x14ac:dyDescent="0.3">
      <c r="A904" s="4"/>
      <c r="B904" s="4"/>
      <c r="C904" s="4"/>
    </row>
    <row r="905" spans="1:3" ht="15.75" customHeight="1" x14ac:dyDescent="0.3">
      <c r="A905" s="4"/>
      <c r="B905" s="4"/>
      <c r="C905" s="4"/>
    </row>
    <row r="906" spans="1:3" ht="15.75" customHeight="1" x14ac:dyDescent="0.3">
      <c r="A906" s="4"/>
      <c r="B906" s="4"/>
      <c r="C906" s="4"/>
    </row>
    <row r="907" spans="1:3" ht="15.75" customHeight="1" x14ac:dyDescent="0.3">
      <c r="A907" s="4"/>
      <c r="B907" s="4"/>
      <c r="C907" s="4"/>
    </row>
    <row r="908" spans="1:3" ht="15.75" customHeight="1" x14ac:dyDescent="0.3">
      <c r="A908" s="4"/>
      <c r="B908" s="4"/>
      <c r="C908" s="4"/>
    </row>
    <row r="909" spans="1:3" ht="15.75" customHeight="1" x14ac:dyDescent="0.3">
      <c r="A909" s="4"/>
      <c r="B909" s="4"/>
      <c r="C909" s="4"/>
    </row>
    <row r="910" spans="1:3" ht="15.75" customHeight="1" x14ac:dyDescent="0.3">
      <c r="A910" s="4"/>
      <c r="B910" s="4"/>
      <c r="C910" s="4"/>
    </row>
    <row r="911" spans="1:3" ht="15.75" customHeight="1" x14ac:dyDescent="0.3">
      <c r="A911" s="4"/>
      <c r="B911" s="4"/>
      <c r="C911" s="4"/>
    </row>
    <row r="912" spans="1:3" ht="15.75" customHeight="1" x14ac:dyDescent="0.3">
      <c r="A912" s="4"/>
      <c r="B912" s="4"/>
      <c r="C912" s="4"/>
    </row>
    <row r="913" spans="1:3" ht="15.75" customHeight="1" x14ac:dyDescent="0.3">
      <c r="A913" s="4"/>
      <c r="B913" s="4"/>
      <c r="C913" s="4"/>
    </row>
    <row r="914" spans="1:3" ht="15.75" customHeight="1" x14ac:dyDescent="0.3">
      <c r="A914" s="4"/>
      <c r="B914" s="4"/>
      <c r="C914" s="4"/>
    </row>
    <row r="915" spans="1:3" ht="15.75" customHeight="1" x14ac:dyDescent="0.3">
      <c r="A915" s="4"/>
      <c r="B915" s="4"/>
      <c r="C915" s="4"/>
    </row>
    <row r="916" spans="1:3" ht="15.75" customHeight="1" x14ac:dyDescent="0.3">
      <c r="A916" s="4"/>
      <c r="B916" s="4"/>
      <c r="C916" s="4"/>
    </row>
    <row r="917" spans="1:3" ht="15.75" customHeight="1" x14ac:dyDescent="0.3">
      <c r="A917" s="4"/>
      <c r="B917" s="4"/>
      <c r="C917" s="4"/>
    </row>
    <row r="918" spans="1:3" ht="15.75" customHeight="1" x14ac:dyDescent="0.3">
      <c r="A918" s="4"/>
      <c r="B918" s="4"/>
      <c r="C918" s="4"/>
    </row>
    <row r="919" spans="1:3" ht="15.75" customHeight="1" x14ac:dyDescent="0.3">
      <c r="A919" s="4"/>
      <c r="B919" s="4"/>
      <c r="C919" s="4"/>
    </row>
    <row r="920" spans="1:3" ht="15.75" customHeight="1" x14ac:dyDescent="0.3">
      <c r="A920" s="4"/>
      <c r="B920" s="4"/>
      <c r="C920" s="4"/>
    </row>
    <row r="921" spans="1:3" ht="15.75" customHeight="1" x14ac:dyDescent="0.3">
      <c r="A921" s="4"/>
      <c r="B921" s="4"/>
      <c r="C921" s="4"/>
    </row>
    <row r="922" spans="1:3" ht="15.75" customHeight="1" x14ac:dyDescent="0.3">
      <c r="A922" s="4"/>
      <c r="B922" s="4"/>
      <c r="C922" s="4"/>
    </row>
    <row r="923" spans="1:3" ht="15.75" customHeight="1" x14ac:dyDescent="0.3">
      <c r="A923" s="4"/>
      <c r="B923" s="4"/>
      <c r="C923" s="4"/>
    </row>
    <row r="924" spans="1:3" ht="15.75" customHeight="1" x14ac:dyDescent="0.3">
      <c r="A924" s="4"/>
      <c r="B924" s="4"/>
      <c r="C924" s="4"/>
    </row>
    <row r="925" spans="1:3" ht="15.75" customHeight="1" x14ac:dyDescent="0.3">
      <c r="A925" s="4"/>
      <c r="B925" s="4"/>
      <c r="C925" s="4"/>
    </row>
    <row r="926" spans="1:3" ht="15.75" customHeight="1" x14ac:dyDescent="0.3">
      <c r="A926" s="4"/>
      <c r="B926" s="4"/>
      <c r="C926" s="4"/>
    </row>
    <row r="927" spans="1:3" ht="15.75" customHeight="1" x14ac:dyDescent="0.3">
      <c r="A927" s="4"/>
      <c r="B927" s="4"/>
      <c r="C927" s="4"/>
    </row>
    <row r="928" spans="1:3" ht="15.75" customHeight="1" x14ac:dyDescent="0.3">
      <c r="A928" s="4"/>
      <c r="B928" s="4"/>
      <c r="C928" s="4"/>
    </row>
    <row r="929" spans="1:3" ht="15.75" customHeight="1" x14ac:dyDescent="0.3">
      <c r="A929" s="4"/>
      <c r="B929" s="4"/>
      <c r="C929" s="4"/>
    </row>
    <row r="930" spans="1:3" ht="15.75" customHeight="1" x14ac:dyDescent="0.3">
      <c r="A930" s="4"/>
      <c r="B930" s="4"/>
      <c r="C930" s="4"/>
    </row>
    <row r="931" spans="1:3" ht="15.75" customHeight="1" x14ac:dyDescent="0.3">
      <c r="A931" s="4"/>
      <c r="B931" s="4"/>
      <c r="C931" s="4"/>
    </row>
    <row r="932" spans="1:3" ht="15.75" customHeight="1" x14ac:dyDescent="0.3">
      <c r="A932" s="4"/>
      <c r="B932" s="4"/>
      <c r="C932" s="4"/>
    </row>
    <row r="933" spans="1:3" ht="15.75" customHeight="1" x14ac:dyDescent="0.3">
      <c r="A933" s="4"/>
      <c r="B933" s="4"/>
      <c r="C933" s="4"/>
    </row>
    <row r="934" spans="1:3" ht="15.75" customHeight="1" x14ac:dyDescent="0.3">
      <c r="A934" s="4"/>
      <c r="B934" s="4"/>
      <c r="C934" s="4"/>
    </row>
    <row r="935" spans="1:3" ht="15.75" customHeight="1" x14ac:dyDescent="0.3">
      <c r="A935" s="4"/>
      <c r="B935" s="4"/>
      <c r="C935" s="4"/>
    </row>
    <row r="936" spans="1:3" ht="15.75" customHeight="1" x14ac:dyDescent="0.3">
      <c r="A936" s="4"/>
      <c r="B936" s="4"/>
      <c r="C936" s="4"/>
    </row>
    <row r="937" spans="1:3" ht="15.75" customHeight="1" x14ac:dyDescent="0.3">
      <c r="A937" s="4"/>
      <c r="B937" s="4"/>
      <c r="C937" s="4"/>
    </row>
    <row r="938" spans="1:3" ht="15.75" customHeight="1" x14ac:dyDescent="0.3">
      <c r="A938" s="4"/>
      <c r="B938" s="4"/>
      <c r="C938" s="4"/>
    </row>
    <row r="939" spans="1:3" ht="15.75" customHeight="1" x14ac:dyDescent="0.3">
      <c r="A939" s="4"/>
      <c r="B939" s="4"/>
      <c r="C939" s="4"/>
    </row>
    <row r="940" spans="1:3" ht="15.75" customHeight="1" x14ac:dyDescent="0.3">
      <c r="A940" s="4"/>
      <c r="B940" s="4"/>
      <c r="C940" s="4"/>
    </row>
    <row r="941" spans="1:3" ht="15.75" customHeight="1" x14ac:dyDescent="0.3">
      <c r="A941" s="4"/>
      <c r="B941" s="4"/>
      <c r="C941" s="4"/>
    </row>
    <row r="942" spans="1:3" ht="15.75" customHeight="1" x14ac:dyDescent="0.3">
      <c r="A942" s="4"/>
      <c r="B942" s="4"/>
      <c r="C942" s="4"/>
    </row>
    <row r="943" spans="1:3" ht="15.75" customHeight="1" x14ac:dyDescent="0.3">
      <c r="A943" s="4"/>
      <c r="B943" s="4"/>
      <c r="C943" s="4"/>
    </row>
    <row r="944" spans="1:3" ht="15.75" customHeight="1" x14ac:dyDescent="0.3">
      <c r="A944" s="4"/>
      <c r="B944" s="4"/>
      <c r="C944" s="4"/>
    </row>
    <row r="945" spans="1:3" ht="15.75" customHeight="1" x14ac:dyDescent="0.3">
      <c r="A945" s="4"/>
      <c r="B945" s="4"/>
      <c r="C945" s="4"/>
    </row>
    <row r="946" spans="1:3" ht="15.75" customHeight="1" x14ac:dyDescent="0.3">
      <c r="A946" s="4"/>
      <c r="B946" s="4"/>
      <c r="C946" s="4"/>
    </row>
    <row r="947" spans="1:3" ht="15.75" customHeight="1" x14ac:dyDescent="0.3">
      <c r="A947" s="4"/>
      <c r="B947" s="4"/>
      <c r="C947" s="4"/>
    </row>
    <row r="948" spans="1:3" ht="15.75" customHeight="1" x14ac:dyDescent="0.3">
      <c r="A948" s="4"/>
      <c r="B948" s="4"/>
      <c r="C948" s="4"/>
    </row>
    <row r="949" spans="1:3" ht="15.75" customHeight="1" x14ac:dyDescent="0.3">
      <c r="A949" s="4"/>
      <c r="B949" s="4"/>
      <c r="C949" s="4"/>
    </row>
    <row r="950" spans="1:3" ht="15.75" customHeight="1" x14ac:dyDescent="0.3">
      <c r="A950" s="4"/>
      <c r="B950" s="4"/>
      <c r="C950" s="4"/>
    </row>
    <row r="951" spans="1:3" ht="15.75" customHeight="1" x14ac:dyDescent="0.3">
      <c r="A951" s="4"/>
      <c r="B951" s="4"/>
      <c r="C951" s="4"/>
    </row>
    <row r="952" spans="1:3" ht="15.75" customHeight="1" x14ac:dyDescent="0.3">
      <c r="A952" s="4"/>
      <c r="B952" s="4"/>
      <c r="C952" s="4"/>
    </row>
    <row r="953" spans="1:3" ht="15.75" customHeight="1" x14ac:dyDescent="0.3">
      <c r="A953" s="4"/>
      <c r="B953" s="4"/>
      <c r="C953" s="4"/>
    </row>
    <row r="954" spans="1:3" ht="15.75" customHeight="1" x14ac:dyDescent="0.3">
      <c r="A954" s="4"/>
      <c r="B954" s="4"/>
      <c r="C954" s="4"/>
    </row>
    <row r="955" spans="1:3" ht="15.75" customHeight="1" x14ac:dyDescent="0.3">
      <c r="A955" s="4"/>
      <c r="B955" s="4"/>
      <c r="C955" s="4"/>
    </row>
    <row r="956" spans="1:3" ht="15.75" customHeight="1" x14ac:dyDescent="0.3">
      <c r="A956" s="4"/>
      <c r="B956" s="4"/>
      <c r="C956" s="4"/>
    </row>
    <row r="957" spans="1:3" ht="15.75" customHeight="1" x14ac:dyDescent="0.3">
      <c r="A957" s="4"/>
      <c r="B957" s="4"/>
      <c r="C957" s="4"/>
    </row>
    <row r="958" spans="1:3" ht="15.75" customHeight="1" x14ac:dyDescent="0.3">
      <c r="A958" s="4"/>
      <c r="B958" s="4"/>
      <c r="C958" s="4"/>
    </row>
    <row r="959" spans="1:3" ht="15.75" customHeight="1" x14ac:dyDescent="0.3">
      <c r="A959" s="4"/>
      <c r="B959" s="4"/>
      <c r="C959" s="4"/>
    </row>
    <row r="960" spans="1:3" ht="15.75" customHeight="1" x14ac:dyDescent="0.3">
      <c r="A960" s="4"/>
      <c r="B960" s="4"/>
      <c r="C960" s="4"/>
    </row>
    <row r="961" spans="1:3" ht="15.75" customHeight="1" x14ac:dyDescent="0.3">
      <c r="A961" s="4"/>
      <c r="B961" s="4"/>
      <c r="C961" s="4"/>
    </row>
    <row r="962" spans="1:3" ht="15.75" customHeight="1" x14ac:dyDescent="0.3">
      <c r="A962" s="4"/>
      <c r="B962" s="4"/>
      <c r="C962" s="4"/>
    </row>
    <row r="963" spans="1:3" ht="15.75" customHeight="1" x14ac:dyDescent="0.3">
      <c r="A963" s="4"/>
      <c r="B963" s="4"/>
      <c r="C963" s="4"/>
    </row>
    <row r="964" spans="1:3" ht="15.75" customHeight="1" x14ac:dyDescent="0.3">
      <c r="A964" s="4"/>
      <c r="B964" s="4"/>
      <c r="C964" s="4"/>
    </row>
    <row r="965" spans="1:3" ht="15.75" customHeight="1" x14ac:dyDescent="0.3">
      <c r="A965" s="4"/>
      <c r="B965" s="4"/>
      <c r="C965" s="4"/>
    </row>
    <row r="966" spans="1:3" ht="15.75" customHeight="1" x14ac:dyDescent="0.3">
      <c r="A966" s="4"/>
      <c r="B966" s="4"/>
      <c r="C966" s="4"/>
    </row>
    <row r="967" spans="1:3" ht="15.75" customHeight="1" x14ac:dyDescent="0.3">
      <c r="A967" s="4"/>
      <c r="B967" s="4"/>
      <c r="C967" s="4"/>
    </row>
    <row r="968" spans="1:3" ht="15.75" customHeight="1" x14ac:dyDescent="0.3">
      <c r="A968" s="4"/>
      <c r="B968" s="4"/>
      <c r="C968" s="4"/>
    </row>
    <row r="969" spans="1:3" ht="15.75" customHeight="1" x14ac:dyDescent="0.3">
      <c r="A969" s="4"/>
      <c r="B969" s="4"/>
      <c r="C969" s="4"/>
    </row>
    <row r="970" spans="1:3" ht="15.75" customHeight="1" x14ac:dyDescent="0.3">
      <c r="A970" s="4"/>
      <c r="B970" s="4"/>
      <c r="C970" s="4"/>
    </row>
    <row r="971" spans="1:3" ht="15.75" customHeight="1" x14ac:dyDescent="0.3">
      <c r="A971" s="4"/>
      <c r="B971" s="4"/>
      <c r="C971" s="4"/>
    </row>
    <row r="972" spans="1:3" ht="15.75" customHeight="1" x14ac:dyDescent="0.3">
      <c r="A972" s="4"/>
      <c r="B972" s="4"/>
      <c r="C972" s="4"/>
    </row>
    <row r="973" spans="1:3" ht="15.75" customHeight="1" x14ac:dyDescent="0.3">
      <c r="A973" s="4"/>
      <c r="B973" s="4"/>
      <c r="C973" s="4"/>
    </row>
    <row r="974" spans="1:3" ht="15.75" customHeight="1" x14ac:dyDescent="0.3">
      <c r="A974" s="4"/>
      <c r="B974" s="4"/>
      <c r="C974" s="4"/>
    </row>
    <row r="975" spans="1:3" ht="15.75" customHeight="1" x14ac:dyDescent="0.3">
      <c r="A975" s="4"/>
      <c r="B975" s="4"/>
      <c r="C975" s="4"/>
    </row>
    <row r="976" spans="1:3" ht="15.75" customHeight="1" x14ac:dyDescent="0.3">
      <c r="A976" s="4"/>
      <c r="B976" s="4"/>
      <c r="C976" s="4"/>
    </row>
    <row r="977" spans="1:3" ht="15.75" customHeight="1" x14ac:dyDescent="0.3">
      <c r="A977" s="4"/>
      <c r="B977" s="4"/>
      <c r="C977" s="4"/>
    </row>
    <row r="978" spans="1:3" ht="15.75" customHeight="1" x14ac:dyDescent="0.3">
      <c r="A978" s="4"/>
      <c r="B978" s="4"/>
      <c r="C978" s="4"/>
    </row>
    <row r="979" spans="1:3" ht="15.75" customHeight="1" x14ac:dyDescent="0.3">
      <c r="A979" s="4"/>
      <c r="B979" s="4"/>
      <c r="C979" s="4"/>
    </row>
    <row r="980" spans="1:3" ht="15.75" customHeight="1" x14ac:dyDescent="0.3">
      <c r="A980" s="4"/>
      <c r="B980" s="4"/>
      <c r="C980" s="4"/>
    </row>
    <row r="981" spans="1:3" ht="15.75" customHeight="1" x14ac:dyDescent="0.3">
      <c r="A981" s="4"/>
      <c r="B981" s="4"/>
      <c r="C981" s="4"/>
    </row>
    <row r="982" spans="1:3" ht="15.75" customHeight="1" x14ac:dyDescent="0.3">
      <c r="A982" s="4"/>
      <c r="B982" s="4"/>
      <c r="C982" s="4"/>
    </row>
    <row r="983" spans="1:3" ht="15.75" customHeight="1" x14ac:dyDescent="0.3">
      <c r="A983" s="4"/>
      <c r="B983" s="4"/>
      <c r="C983" s="4"/>
    </row>
    <row r="984" spans="1:3" ht="15.75" customHeight="1" x14ac:dyDescent="0.3">
      <c r="A984" s="4"/>
      <c r="B984" s="4"/>
      <c r="C984" s="4"/>
    </row>
    <row r="985" spans="1:3" ht="15.75" customHeight="1" x14ac:dyDescent="0.3">
      <c r="A985" s="4"/>
      <c r="B985" s="4"/>
      <c r="C985" s="4"/>
    </row>
    <row r="986" spans="1:3" ht="15.75" customHeight="1" x14ac:dyDescent="0.3">
      <c r="A986" s="4"/>
      <c r="B986" s="4"/>
      <c r="C986" s="4"/>
    </row>
    <row r="987" spans="1:3" ht="15.75" customHeight="1" x14ac:dyDescent="0.3">
      <c r="A987" s="4"/>
      <c r="B987" s="4"/>
      <c r="C987" s="4"/>
    </row>
    <row r="988" spans="1:3" ht="15.75" customHeight="1" x14ac:dyDescent="0.3">
      <c r="A988" s="4"/>
      <c r="B988" s="4"/>
      <c r="C988" s="4"/>
    </row>
    <row r="989" spans="1:3" ht="15.75" customHeight="1" x14ac:dyDescent="0.3">
      <c r="A989" s="4"/>
      <c r="B989" s="4"/>
      <c r="C989" s="4"/>
    </row>
    <row r="990" spans="1:3" ht="15.75" customHeight="1" x14ac:dyDescent="0.3">
      <c r="A990" s="4"/>
      <c r="B990" s="4"/>
      <c r="C990" s="4"/>
    </row>
    <row r="991" spans="1:3" ht="15.75" customHeight="1" x14ac:dyDescent="0.3">
      <c r="A991" s="4"/>
      <c r="B991" s="4"/>
      <c r="C991" s="4"/>
    </row>
    <row r="992" spans="1:3" ht="15.75" customHeight="1" x14ac:dyDescent="0.3">
      <c r="A992" s="4"/>
      <c r="B992" s="4"/>
      <c r="C992" s="4"/>
    </row>
    <row r="993" spans="1:3" ht="15.75" customHeight="1" x14ac:dyDescent="0.3">
      <c r="A993" s="4"/>
      <c r="B993" s="4"/>
      <c r="C993" s="4"/>
    </row>
    <row r="994" spans="1:3" ht="15.75" customHeight="1" x14ac:dyDescent="0.3">
      <c r="A994" s="4"/>
      <c r="B994" s="4"/>
      <c r="C994" s="4"/>
    </row>
    <row r="995" spans="1:3" ht="15.75" customHeight="1" x14ac:dyDescent="0.3">
      <c r="A995" s="4"/>
      <c r="B995" s="4"/>
      <c r="C995" s="4"/>
    </row>
    <row r="996" spans="1:3" ht="15.75" customHeight="1" x14ac:dyDescent="0.3">
      <c r="A996" s="4"/>
      <c r="B996" s="4"/>
      <c r="C996" s="4"/>
    </row>
    <row r="997" spans="1:3" ht="15.75" customHeight="1" x14ac:dyDescent="0.3">
      <c r="A997" s="4"/>
      <c r="B997" s="4"/>
      <c r="C997" s="4"/>
    </row>
    <row r="998" spans="1:3" ht="15.75" customHeight="1" x14ac:dyDescent="0.3">
      <c r="A998" s="4"/>
      <c r="B998" s="4"/>
      <c r="C998" s="4"/>
    </row>
    <row r="999" spans="1:3" ht="15.75" customHeight="1" x14ac:dyDescent="0.3">
      <c r="A999" s="4"/>
      <c r="B999" s="4"/>
      <c r="C999" s="4"/>
    </row>
    <row r="1000" spans="1:3" ht="15.75" customHeight="1" x14ac:dyDescent="0.3">
      <c r="A1000" s="4"/>
      <c r="B1000" s="4"/>
      <c r="C1000" s="4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pane ySplit="1" topLeftCell="A2" activePane="bottomLeft" state="frozen"/>
      <selection pane="bottomLeft" activeCell="C23" sqref="C23"/>
    </sheetView>
  </sheetViews>
  <sheetFormatPr defaultColWidth="14.44140625" defaultRowHeight="15" customHeight="1" x14ac:dyDescent="0.3"/>
  <cols>
    <col min="1" max="1" width="26" customWidth="1"/>
    <col min="2" max="2" width="16" customWidth="1"/>
    <col min="3" max="3" width="58" customWidth="1"/>
    <col min="4" max="4" width="18" customWidth="1"/>
    <col min="5" max="5" width="18.5546875" customWidth="1"/>
    <col min="6" max="6" width="24" customWidth="1"/>
    <col min="7" max="7" width="38" customWidth="1"/>
    <col min="8" max="26" width="8.6640625" customWidth="1"/>
  </cols>
  <sheetData>
    <row r="1" spans="1:7" ht="30" customHeight="1" x14ac:dyDescent="0.3">
      <c r="A1" s="19" t="s">
        <v>49</v>
      </c>
      <c r="B1" s="20" t="s">
        <v>50</v>
      </c>
      <c r="C1" s="20" t="s">
        <v>51</v>
      </c>
      <c r="D1" s="20" t="s">
        <v>52</v>
      </c>
      <c r="E1" s="20" t="s">
        <v>53</v>
      </c>
      <c r="F1" s="20" t="s">
        <v>54</v>
      </c>
      <c r="G1" s="21" t="s">
        <v>55</v>
      </c>
    </row>
    <row r="2" spans="1:7" ht="15" customHeight="1" x14ac:dyDescent="0.3">
      <c r="A2" s="17" t="s">
        <v>0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18" t="s">
        <v>61</v>
      </c>
    </row>
    <row r="3" spans="1:7" ht="15" customHeight="1" x14ac:dyDescent="0.3">
      <c r="A3" s="17" t="s">
        <v>1</v>
      </c>
      <c r="B3" s="2" t="s">
        <v>56</v>
      </c>
      <c r="C3" s="2" t="s">
        <v>62</v>
      </c>
      <c r="D3" s="2" t="s">
        <v>63</v>
      </c>
      <c r="E3" s="2" t="s">
        <v>64</v>
      </c>
      <c r="F3" s="2" t="s">
        <v>65</v>
      </c>
      <c r="G3" s="18" t="s">
        <v>61</v>
      </c>
    </row>
    <row r="4" spans="1:7" ht="15" customHeight="1" x14ac:dyDescent="0.3">
      <c r="A4" s="17" t="s">
        <v>2</v>
      </c>
      <c r="B4" s="2" t="s">
        <v>56</v>
      </c>
      <c r="C4" s="2" t="s">
        <v>66</v>
      </c>
      <c r="D4" s="2" t="s">
        <v>63</v>
      </c>
      <c r="E4" s="2" t="s">
        <v>64</v>
      </c>
      <c r="F4" s="2" t="s">
        <v>65</v>
      </c>
      <c r="G4" s="18" t="s">
        <v>61</v>
      </c>
    </row>
    <row r="5" spans="1:7" ht="15" customHeight="1" x14ac:dyDescent="0.3">
      <c r="A5" s="17" t="s">
        <v>3</v>
      </c>
      <c r="B5" s="2" t="s">
        <v>56</v>
      </c>
      <c r="C5" s="2" t="s">
        <v>67</v>
      </c>
      <c r="D5" s="2" t="s">
        <v>63</v>
      </c>
      <c r="E5" s="2" t="s">
        <v>64</v>
      </c>
      <c r="F5" s="2" t="s">
        <v>65</v>
      </c>
      <c r="G5" s="18" t="s">
        <v>61</v>
      </c>
    </row>
    <row r="6" spans="1:7" ht="15" customHeight="1" x14ac:dyDescent="0.3">
      <c r="A6" s="17" t="s">
        <v>4</v>
      </c>
      <c r="B6" s="2" t="s">
        <v>56</v>
      </c>
      <c r="C6" s="2" t="s">
        <v>68</v>
      </c>
      <c r="D6" s="2" t="s">
        <v>63</v>
      </c>
      <c r="E6" s="2" t="s">
        <v>64</v>
      </c>
      <c r="F6" s="2" t="s">
        <v>65</v>
      </c>
      <c r="G6" s="18" t="s">
        <v>61</v>
      </c>
    </row>
    <row r="7" spans="1:7" ht="28.2" customHeight="1" x14ac:dyDescent="0.3">
      <c r="A7" s="17" t="s">
        <v>5</v>
      </c>
      <c r="B7" s="2" t="s">
        <v>56</v>
      </c>
      <c r="C7" s="2" t="s">
        <v>69</v>
      </c>
      <c r="D7" s="2" t="s">
        <v>63</v>
      </c>
      <c r="E7" s="2" t="s">
        <v>64</v>
      </c>
      <c r="F7" s="15" t="s">
        <v>96</v>
      </c>
      <c r="G7" s="18" t="s">
        <v>61</v>
      </c>
    </row>
    <row r="8" spans="1:7" ht="31.8" customHeight="1" x14ac:dyDescent="0.3">
      <c r="A8" s="17" t="s">
        <v>6</v>
      </c>
      <c r="B8" s="2" t="s">
        <v>56</v>
      </c>
      <c r="C8" s="2" t="s">
        <v>70</v>
      </c>
      <c r="D8" s="2" t="s">
        <v>71</v>
      </c>
      <c r="E8" s="2" t="s">
        <v>64</v>
      </c>
      <c r="F8" s="2" t="s">
        <v>72</v>
      </c>
      <c r="G8" s="18" t="s">
        <v>73</v>
      </c>
    </row>
    <row r="9" spans="1:7" ht="15" customHeight="1" x14ac:dyDescent="0.3">
      <c r="A9" s="17" t="s">
        <v>7</v>
      </c>
      <c r="B9" s="2" t="s">
        <v>56</v>
      </c>
      <c r="C9" s="2" t="s">
        <v>74</v>
      </c>
      <c r="D9" s="2" t="s">
        <v>71</v>
      </c>
      <c r="E9" s="2" t="s">
        <v>64</v>
      </c>
      <c r="F9" s="2" t="s">
        <v>72</v>
      </c>
      <c r="G9" s="18" t="s">
        <v>75</v>
      </c>
    </row>
    <row r="10" spans="1:7" ht="21.6" customHeight="1" x14ac:dyDescent="0.3">
      <c r="A10" s="17" t="s">
        <v>8</v>
      </c>
      <c r="B10" s="2" t="s">
        <v>56</v>
      </c>
      <c r="C10" s="2" t="s">
        <v>76</v>
      </c>
      <c r="D10" s="2" t="s">
        <v>77</v>
      </c>
      <c r="E10" s="2" t="s">
        <v>78</v>
      </c>
      <c r="F10" s="2" t="s">
        <v>26</v>
      </c>
      <c r="G10" s="18" t="s">
        <v>61</v>
      </c>
    </row>
    <row r="11" spans="1:7" ht="31.8" customHeight="1" x14ac:dyDescent="0.3">
      <c r="A11" s="17" t="s">
        <v>9</v>
      </c>
      <c r="B11" s="2" t="s">
        <v>56</v>
      </c>
      <c r="C11" s="2" t="s">
        <v>79</v>
      </c>
      <c r="D11" s="2" t="s">
        <v>80</v>
      </c>
      <c r="E11" s="2" t="s">
        <v>78</v>
      </c>
      <c r="F11" s="2" t="s">
        <v>26</v>
      </c>
      <c r="G11" s="40" t="s">
        <v>81</v>
      </c>
    </row>
    <row r="12" spans="1:7" ht="15" customHeight="1" x14ac:dyDescent="0.3">
      <c r="A12" s="17" t="s">
        <v>10</v>
      </c>
      <c r="B12" s="2" t="s">
        <v>56</v>
      </c>
      <c r="C12" s="2" t="s">
        <v>82</v>
      </c>
      <c r="D12" s="2" t="s">
        <v>80</v>
      </c>
      <c r="E12" s="2" t="s">
        <v>78</v>
      </c>
      <c r="F12" s="2" t="s">
        <v>26</v>
      </c>
      <c r="G12" s="18" t="s">
        <v>61</v>
      </c>
    </row>
    <row r="13" spans="1:7" ht="29.4" customHeight="1" x14ac:dyDescent="0.3">
      <c r="A13" s="17" t="s">
        <v>11</v>
      </c>
      <c r="B13" s="2" t="s">
        <v>56</v>
      </c>
      <c r="C13" s="2" t="s">
        <v>83</v>
      </c>
      <c r="D13" s="2" t="s">
        <v>77</v>
      </c>
      <c r="E13" s="2" t="s">
        <v>78</v>
      </c>
      <c r="F13" s="2" t="s">
        <v>26</v>
      </c>
      <c r="G13" s="40" t="s">
        <v>81</v>
      </c>
    </row>
    <row r="14" spans="1:7" ht="15" customHeight="1" x14ac:dyDescent="0.3">
      <c r="A14" s="17" t="s">
        <v>9</v>
      </c>
      <c r="B14" s="2" t="s">
        <v>84</v>
      </c>
      <c r="C14" s="2" t="s">
        <v>85</v>
      </c>
      <c r="D14" s="2" t="s">
        <v>80</v>
      </c>
      <c r="E14" s="2" t="s">
        <v>78</v>
      </c>
      <c r="F14" s="2" t="s">
        <v>26</v>
      </c>
      <c r="G14" s="18" t="s">
        <v>61</v>
      </c>
    </row>
    <row r="15" spans="1:7" ht="15" customHeight="1" x14ac:dyDescent="0.3">
      <c r="A15" s="17" t="s">
        <v>13</v>
      </c>
      <c r="B15" s="2" t="s">
        <v>84</v>
      </c>
      <c r="C15" s="2" t="s">
        <v>86</v>
      </c>
      <c r="D15" s="2" t="s">
        <v>58</v>
      </c>
      <c r="E15" s="2" t="s">
        <v>59</v>
      </c>
      <c r="F15" s="2" t="s">
        <v>60</v>
      </c>
      <c r="G15" s="18" t="s">
        <v>61</v>
      </c>
    </row>
    <row r="16" spans="1:7" ht="15" customHeight="1" x14ac:dyDescent="0.3">
      <c r="A16" s="17" t="s">
        <v>16</v>
      </c>
      <c r="B16" s="2" t="s">
        <v>84</v>
      </c>
      <c r="C16" s="2" t="s">
        <v>87</v>
      </c>
      <c r="D16" s="2" t="s">
        <v>88</v>
      </c>
      <c r="E16" s="2" t="s">
        <v>26</v>
      </c>
      <c r="F16" s="2" t="s">
        <v>26</v>
      </c>
      <c r="G16" s="18" t="s">
        <v>61</v>
      </c>
    </row>
    <row r="17" spans="1:7" ht="15" customHeight="1" x14ac:dyDescent="0.3">
      <c r="A17" s="17" t="s">
        <v>17</v>
      </c>
      <c r="B17" s="2" t="s">
        <v>84</v>
      </c>
      <c r="C17" s="2" t="s">
        <v>89</v>
      </c>
      <c r="D17" s="2" t="s">
        <v>80</v>
      </c>
      <c r="E17" s="2" t="s">
        <v>78</v>
      </c>
      <c r="F17" s="2" t="s">
        <v>26</v>
      </c>
      <c r="G17" s="18" t="s">
        <v>61</v>
      </c>
    </row>
    <row r="18" spans="1:7" ht="27.6" customHeight="1" x14ac:dyDescent="0.3">
      <c r="A18" s="17" t="s">
        <v>19</v>
      </c>
      <c r="B18" s="2" t="s">
        <v>84</v>
      </c>
      <c r="C18" s="2" t="s">
        <v>90</v>
      </c>
      <c r="D18" s="2" t="s">
        <v>77</v>
      </c>
      <c r="E18" s="2" t="s">
        <v>78</v>
      </c>
      <c r="F18" s="2" t="s">
        <v>26</v>
      </c>
      <c r="G18" s="18" t="s">
        <v>61</v>
      </c>
    </row>
    <row r="19" spans="1:7" ht="23.4" customHeight="1" x14ac:dyDescent="0.3">
      <c r="A19" s="17" t="s">
        <v>20</v>
      </c>
      <c r="B19" s="2" t="s">
        <v>84</v>
      </c>
      <c r="C19" s="2" t="s">
        <v>91</v>
      </c>
      <c r="D19" s="2" t="s">
        <v>88</v>
      </c>
      <c r="E19" s="2" t="s">
        <v>26</v>
      </c>
      <c r="F19" s="2" t="s">
        <v>26</v>
      </c>
      <c r="G19" s="18" t="s">
        <v>61</v>
      </c>
    </row>
    <row r="20" spans="1:7" ht="15" customHeight="1" x14ac:dyDescent="0.3">
      <c r="A20" s="22" t="s">
        <v>21</v>
      </c>
      <c r="B20" s="23" t="s">
        <v>84</v>
      </c>
      <c r="C20" s="23" t="s">
        <v>92</v>
      </c>
      <c r="D20" s="23" t="s">
        <v>63</v>
      </c>
      <c r="E20" s="23" t="s">
        <v>26</v>
      </c>
      <c r="F20" s="23" t="s">
        <v>93</v>
      </c>
      <c r="G20" s="24" t="s">
        <v>61</v>
      </c>
    </row>
    <row r="21" spans="1:7" ht="15.75" customHeight="1" x14ac:dyDescent="0.3">
      <c r="A21" s="4"/>
      <c r="B21" s="4"/>
      <c r="C21" s="4"/>
      <c r="D21" s="4"/>
      <c r="E21" s="4"/>
      <c r="F21" s="4"/>
      <c r="G21" s="4"/>
    </row>
    <row r="22" spans="1:7" ht="15.75" customHeight="1" x14ac:dyDescent="0.3">
      <c r="A22" s="4"/>
      <c r="B22" s="4"/>
      <c r="C22" s="4"/>
      <c r="D22" s="4"/>
      <c r="E22" s="4"/>
      <c r="F22" s="4"/>
      <c r="G22" s="4"/>
    </row>
    <row r="23" spans="1:7" ht="15.75" customHeight="1" x14ac:dyDescent="0.3">
      <c r="A23" s="4"/>
      <c r="B23" s="4"/>
      <c r="C23" s="4"/>
      <c r="D23" s="4"/>
      <c r="E23" s="4"/>
      <c r="F23" s="4"/>
      <c r="G23" s="4"/>
    </row>
    <row r="24" spans="1:7" ht="15.75" customHeight="1" x14ac:dyDescent="0.3">
      <c r="A24" s="4"/>
      <c r="B24" s="4"/>
      <c r="C24" s="4"/>
      <c r="D24" s="4"/>
      <c r="E24" s="4"/>
      <c r="F24" s="4"/>
      <c r="G24" s="4"/>
    </row>
    <row r="25" spans="1:7" ht="15.75" customHeight="1" x14ac:dyDescent="0.3">
      <c r="A25" s="4"/>
      <c r="B25" s="4"/>
      <c r="C25" s="4"/>
      <c r="D25" s="4"/>
      <c r="E25" s="4"/>
      <c r="F25" s="4"/>
      <c r="G25" s="4"/>
    </row>
    <row r="26" spans="1:7" ht="15.75" customHeight="1" x14ac:dyDescent="0.3">
      <c r="A26" s="4"/>
      <c r="B26" s="4"/>
      <c r="C26" s="4"/>
      <c r="D26" s="4"/>
      <c r="E26" s="4"/>
      <c r="F26" s="4"/>
      <c r="G26" s="4"/>
    </row>
    <row r="27" spans="1:7" ht="15.75" customHeight="1" x14ac:dyDescent="0.3">
      <c r="A27" s="4"/>
      <c r="B27" s="4"/>
      <c r="C27" s="4"/>
      <c r="D27" s="4"/>
      <c r="E27" s="4"/>
      <c r="F27" s="4"/>
      <c r="G27" s="4"/>
    </row>
    <row r="28" spans="1:7" ht="15.75" customHeight="1" x14ac:dyDescent="0.3">
      <c r="A28" s="4"/>
      <c r="B28" s="4"/>
      <c r="C28" s="4"/>
      <c r="D28" s="4"/>
      <c r="E28" s="4"/>
      <c r="F28" s="4"/>
      <c r="G28" s="4"/>
    </row>
    <row r="29" spans="1:7" ht="15.75" customHeight="1" x14ac:dyDescent="0.3">
      <c r="A29" s="4"/>
      <c r="B29" s="4"/>
      <c r="C29" s="4"/>
      <c r="D29" s="4"/>
      <c r="E29" s="4"/>
      <c r="F29" s="4"/>
      <c r="G29" s="4"/>
    </row>
    <row r="30" spans="1:7" ht="15.75" customHeight="1" x14ac:dyDescent="0.3">
      <c r="A30" s="4"/>
      <c r="B30" s="4"/>
      <c r="C30" s="4"/>
      <c r="D30" s="4"/>
      <c r="E30" s="4"/>
      <c r="F30" s="4"/>
      <c r="G30" s="4"/>
    </row>
    <row r="31" spans="1:7" ht="15.75" customHeight="1" x14ac:dyDescent="0.3">
      <c r="A31" s="4"/>
      <c r="B31" s="4"/>
      <c r="C31" s="4"/>
      <c r="D31" s="4"/>
      <c r="E31" s="4"/>
      <c r="F31" s="4"/>
      <c r="G31" s="4"/>
    </row>
    <row r="32" spans="1:7" ht="15.75" customHeight="1" x14ac:dyDescent="0.3">
      <c r="A32" s="4"/>
      <c r="B32" s="4"/>
      <c r="C32" s="4"/>
      <c r="D32" s="4"/>
      <c r="E32" s="4"/>
      <c r="F32" s="4"/>
      <c r="G32" s="4"/>
    </row>
    <row r="33" spans="1:7" ht="15.75" customHeight="1" x14ac:dyDescent="0.3">
      <c r="A33" s="4"/>
      <c r="B33" s="4"/>
      <c r="C33" s="4"/>
      <c r="D33" s="4"/>
      <c r="E33" s="4"/>
      <c r="F33" s="4"/>
      <c r="G33" s="4"/>
    </row>
    <row r="34" spans="1:7" ht="15.75" customHeight="1" x14ac:dyDescent="0.3">
      <c r="A34" s="4"/>
      <c r="B34" s="4"/>
      <c r="C34" s="4"/>
      <c r="D34" s="4"/>
      <c r="E34" s="4"/>
      <c r="F34" s="4"/>
      <c r="G34" s="4"/>
    </row>
    <row r="35" spans="1:7" ht="15.75" customHeight="1" x14ac:dyDescent="0.3">
      <c r="A35" s="4"/>
      <c r="B35" s="4"/>
      <c r="C35" s="4"/>
      <c r="D35" s="4"/>
      <c r="E35" s="4"/>
      <c r="F35" s="4"/>
      <c r="G35" s="4"/>
    </row>
    <row r="36" spans="1:7" ht="15.75" customHeight="1" x14ac:dyDescent="0.3">
      <c r="A36" s="4"/>
      <c r="B36" s="4"/>
      <c r="C36" s="4"/>
      <c r="D36" s="4"/>
      <c r="E36" s="4"/>
      <c r="F36" s="4"/>
      <c r="G36" s="4"/>
    </row>
    <row r="37" spans="1:7" ht="15.75" customHeight="1" x14ac:dyDescent="0.3">
      <c r="A37" s="4"/>
      <c r="B37" s="4"/>
      <c r="C37" s="4"/>
      <c r="D37" s="4"/>
      <c r="E37" s="4"/>
      <c r="F37" s="4"/>
      <c r="G37" s="4"/>
    </row>
    <row r="38" spans="1:7" ht="15.75" customHeight="1" x14ac:dyDescent="0.3">
      <c r="A38" s="4"/>
      <c r="B38" s="4"/>
      <c r="C38" s="4"/>
      <c r="D38" s="4"/>
      <c r="E38" s="4"/>
      <c r="F38" s="4"/>
      <c r="G38" s="4"/>
    </row>
    <row r="39" spans="1:7" ht="15.75" customHeight="1" x14ac:dyDescent="0.3">
      <c r="A39" s="4"/>
      <c r="B39" s="4"/>
      <c r="C39" s="4"/>
      <c r="D39" s="4"/>
      <c r="E39" s="4"/>
      <c r="F39" s="4"/>
      <c r="G39" s="4"/>
    </row>
    <row r="40" spans="1:7" ht="15.75" customHeight="1" x14ac:dyDescent="0.3">
      <c r="A40" s="4"/>
      <c r="B40" s="4"/>
      <c r="C40" s="4"/>
      <c r="D40" s="4"/>
      <c r="E40" s="4"/>
      <c r="F40" s="4"/>
      <c r="G40" s="4"/>
    </row>
    <row r="41" spans="1:7" ht="15.75" customHeight="1" x14ac:dyDescent="0.3">
      <c r="A41" s="4"/>
      <c r="B41" s="4"/>
      <c r="C41" s="4"/>
      <c r="D41" s="4"/>
      <c r="E41" s="4"/>
      <c r="F41" s="4"/>
      <c r="G41" s="4"/>
    </row>
    <row r="42" spans="1:7" ht="15.75" customHeight="1" x14ac:dyDescent="0.3">
      <c r="A42" s="4"/>
      <c r="B42" s="4"/>
      <c r="C42" s="4"/>
      <c r="D42" s="4"/>
      <c r="E42" s="4"/>
      <c r="F42" s="4"/>
      <c r="G42" s="4"/>
    </row>
    <row r="43" spans="1:7" ht="15.75" customHeight="1" x14ac:dyDescent="0.3">
      <c r="A43" s="4"/>
      <c r="B43" s="4"/>
      <c r="C43" s="4"/>
      <c r="D43" s="4"/>
      <c r="E43" s="4"/>
      <c r="F43" s="4"/>
      <c r="G43" s="4"/>
    </row>
    <row r="44" spans="1:7" ht="15.75" customHeight="1" x14ac:dyDescent="0.3">
      <c r="A44" s="4"/>
      <c r="B44" s="4"/>
      <c r="C44" s="4"/>
      <c r="D44" s="4"/>
      <c r="E44" s="4"/>
      <c r="F44" s="4"/>
      <c r="G44" s="4"/>
    </row>
    <row r="45" spans="1:7" ht="15.75" customHeight="1" x14ac:dyDescent="0.3">
      <c r="A45" s="4"/>
      <c r="B45" s="4"/>
      <c r="C45" s="4"/>
      <c r="D45" s="4"/>
      <c r="E45" s="4"/>
      <c r="F45" s="4"/>
      <c r="G45" s="4"/>
    </row>
    <row r="46" spans="1:7" ht="15.75" customHeight="1" x14ac:dyDescent="0.3">
      <c r="A46" s="4"/>
      <c r="B46" s="4"/>
      <c r="C46" s="4"/>
      <c r="D46" s="4"/>
      <c r="E46" s="4"/>
      <c r="F46" s="4"/>
      <c r="G46" s="4"/>
    </row>
    <row r="47" spans="1:7" ht="15.75" customHeight="1" x14ac:dyDescent="0.3">
      <c r="A47" s="4"/>
      <c r="B47" s="4"/>
      <c r="C47" s="4"/>
      <c r="D47" s="4"/>
      <c r="E47" s="4"/>
      <c r="F47" s="4"/>
      <c r="G47" s="4"/>
    </row>
    <row r="48" spans="1:7" ht="15.75" customHeight="1" x14ac:dyDescent="0.3">
      <c r="A48" s="4"/>
      <c r="B48" s="4"/>
      <c r="C48" s="4"/>
      <c r="D48" s="4"/>
      <c r="E48" s="4"/>
      <c r="F48" s="4"/>
      <c r="G48" s="4"/>
    </row>
    <row r="49" spans="1:7" ht="15.75" customHeight="1" x14ac:dyDescent="0.3">
      <c r="A49" s="4"/>
      <c r="B49" s="4"/>
      <c r="C49" s="4"/>
      <c r="D49" s="4"/>
      <c r="E49" s="4"/>
      <c r="F49" s="4"/>
      <c r="G49" s="4"/>
    </row>
    <row r="50" spans="1:7" ht="15.75" customHeight="1" x14ac:dyDescent="0.3">
      <c r="A50" s="4"/>
      <c r="B50" s="4"/>
      <c r="C50" s="4"/>
      <c r="D50" s="4"/>
      <c r="E50" s="4"/>
      <c r="F50" s="4"/>
      <c r="G50" s="4"/>
    </row>
    <row r="51" spans="1:7" ht="15.75" customHeight="1" x14ac:dyDescent="0.3">
      <c r="A51" s="4"/>
      <c r="B51" s="4"/>
      <c r="C51" s="4"/>
      <c r="D51" s="4"/>
      <c r="E51" s="4"/>
      <c r="F51" s="4"/>
      <c r="G51" s="4"/>
    </row>
    <row r="52" spans="1:7" ht="15.75" customHeight="1" x14ac:dyDescent="0.3">
      <c r="A52" s="4"/>
      <c r="B52" s="4"/>
      <c r="C52" s="4"/>
      <c r="D52" s="4"/>
      <c r="E52" s="4"/>
      <c r="F52" s="4"/>
      <c r="G52" s="4"/>
    </row>
    <row r="53" spans="1:7" ht="15.75" customHeight="1" x14ac:dyDescent="0.3">
      <c r="A53" s="4"/>
      <c r="B53" s="4"/>
      <c r="C53" s="4"/>
      <c r="D53" s="4"/>
      <c r="E53" s="4"/>
      <c r="F53" s="4"/>
      <c r="G53" s="4"/>
    </row>
    <row r="54" spans="1:7" ht="15.75" customHeight="1" x14ac:dyDescent="0.3">
      <c r="A54" s="4"/>
      <c r="B54" s="4"/>
      <c r="C54" s="4"/>
      <c r="D54" s="4"/>
      <c r="E54" s="4"/>
      <c r="F54" s="4"/>
      <c r="G54" s="4"/>
    </row>
    <row r="55" spans="1:7" ht="15.75" customHeight="1" x14ac:dyDescent="0.3">
      <c r="A55" s="4"/>
      <c r="B55" s="4"/>
      <c r="C55" s="4"/>
      <c r="D55" s="4"/>
      <c r="E55" s="4"/>
      <c r="F55" s="4"/>
      <c r="G55" s="4"/>
    </row>
    <row r="56" spans="1:7" ht="15.75" customHeight="1" x14ac:dyDescent="0.3">
      <c r="A56" s="4"/>
      <c r="B56" s="4"/>
      <c r="C56" s="4"/>
      <c r="D56" s="4"/>
      <c r="E56" s="4"/>
      <c r="F56" s="4"/>
      <c r="G56" s="4"/>
    </row>
    <row r="57" spans="1:7" ht="15.75" customHeight="1" x14ac:dyDescent="0.3">
      <c r="A57" s="4"/>
      <c r="B57" s="4"/>
      <c r="C57" s="4"/>
      <c r="D57" s="4"/>
      <c r="E57" s="4"/>
      <c r="F57" s="4"/>
      <c r="G57" s="4"/>
    </row>
    <row r="58" spans="1:7" ht="15.75" customHeight="1" x14ac:dyDescent="0.3">
      <c r="A58" s="4"/>
      <c r="B58" s="4"/>
      <c r="C58" s="4"/>
      <c r="D58" s="4"/>
      <c r="E58" s="4"/>
      <c r="F58" s="4"/>
      <c r="G58" s="4"/>
    </row>
    <row r="59" spans="1:7" ht="15.75" customHeight="1" x14ac:dyDescent="0.3">
      <c r="A59" s="4"/>
      <c r="B59" s="4"/>
      <c r="C59" s="4"/>
      <c r="D59" s="4"/>
      <c r="E59" s="4"/>
      <c r="F59" s="4"/>
      <c r="G59" s="4"/>
    </row>
    <row r="60" spans="1:7" ht="15.75" customHeight="1" x14ac:dyDescent="0.3">
      <c r="A60" s="4"/>
      <c r="B60" s="4"/>
      <c r="C60" s="4"/>
      <c r="D60" s="4"/>
      <c r="E60" s="4"/>
      <c r="F60" s="4"/>
      <c r="G60" s="4"/>
    </row>
    <row r="61" spans="1:7" ht="15.75" customHeight="1" x14ac:dyDescent="0.3">
      <c r="A61" s="4"/>
      <c r="B61" s="4"/>
      <c r="C61" s="4"/>
      <c r="D61" s="4"/>
      <c r="E61" s="4"/>
      <c r="F61" s="4"/>
      <c r="G61" s="4"/>
    </row>
    <row r="62" spans="1:7" ht="15.75" customHeight="1" x14ac:dyDescent="0.3">
      <c r="A62" s="4"/>
      <c r="B62" s="4"/>
      <c r="C62" s="4"/>
      <c r="D62" s="4"/>
      <c r="E62" s="4"/>
      <c r="F62" s="4"/>
      <c r="G62" s="4"/>
    </row>
    <row r="63" spans="1:7" ht="15.75" customHeight="1" x14ac:dyDescent="0.3">
      <c r="A63" s="4"/>
      <c r="B63" s="4"/>
      <c r="C63" s="4"/>
      <c r="D63" s="4"/>
      <c r="E63" s="4"/>
      <c r="F63" s="4"/>
      <c r="G63" s="4"/>
    </row>
    <row r="64" spans="1:7" ht="15.75" customHeight="1" x14ac:dyDescent="0.3">
      <c r="A64" s="4"/>
      <c r="B64" s="4"/>
      <c r="C64" s="4"/>
      <c r="D64" s="4"/>
      <c r="E64" s="4"/>
      <c r="F64" s="4"/>
      <c r="G64" s="4"/>
    </row>
    <row r="65" spans="1:7" ht="15.75" customHeight="1" x14ac:dyDescent="0.3">
      <c r="A65" s="4"/>
      <c r="B65" s="4"/>
      <c r="C65" s="4"/>
      <c r="D65" s="4"/>
      <c r="E65" s="4"/>
      <c r="F65" s="4"/>
      <c r="G65" s="4"/>
    </row>
    <row r="66" spans="1:7" ht="15.75" customHeight="1" x14ac:dyDescent="0.3">
      <c r="A66" s="4"/>
      <c r="B66" s="4"/>
      <c r="C66" s="4"/>
      <c r="D66" s="4"/>
      <c r="E66" s="4"/>
      <c r="F66" s="4"/>
      <c r="G66" s="4"/>
    </row>
    <row r="67" spans="1:7" ht="15.75" customHeight="1" x14ac:dyDescent="0.3">
      <c r="A67" s="4"/>
      <c r="B67" s="4"/>
      <c r="C67" s="4"/>
      <c r="D67" s="4"/>
      <c r="E67" s="4"/>
      <c r="F67" s="4"/>
      <c r="G67" s="4"/>
    </row>
    <row r="68" spans="1:7" ht="15.75" customHeight="1" x14ac:dyDescent="0.3">
      <c r="A68" s="4"/>
      <c r="B68" s="4"/>
      <c r="C68" s="4"/>
      <c r="D68" s="4"/>
      <c r="E68" s="4"/>
      <c r="F68" s="4"/>
      <c r="G68" s="4"/>
    </row>
    <row r="69" spans="1:7" ht="15.75" customHeight="1" x14ac:dyDescent="0.3">
      <c r="A69" s="4"/>
      <c r="B69" s="4"/>
      <c r="C69" s="4"/>
      <c r="D69" s="4"/>
      <c r="E69" s="4"/>
      <c r="F69" s="4"/>
      <c r="G69" s="4"/>
    </row>
    <row r="70" spans="1:7" ht="15.75" customHeight="1" x14ac:dyDescent="0.3">
      <c r="A70" s="4"/>
      <c r="B70" s="4"/>
      <c r="C70" s="4"/>
      <c r="D70" s="4"/>
      <c r="E70" s="4"/>
      <c r="F70" s="4"/>
      <c r="G70" s="4"/>
    </row>
    <row r="71" spans="1:7" ht="15.75" customHeight="1" x14ac:dyDescent="0.3">
      <c r="A71" s="4"/>
      <c r="B71" s="4"/>
      <c r="C71" s="4"/>
      <c r="D71" s="4"/>
      <c r="E71" s="4"/>
      <c r="F71" s="4"/>
      <c r="G71" s="4"/>
    </row>
    <row r="72" spans="1:7" ht="15.75" customHeight="1" x14ac:dyDescent="0.3">
      <c r="A72" s="4"/>
      <c r="B72" s="4"/>
      <c r="C72" s="4"/>
      <c r="D72" s="4"/>
      <c r="E72" s="4"/>
      <c r="F72" s="4"/>
      <c r="G72" s="4"/>
    </row>
    <row r="73" spans="1:7" ht="15.75" customHeight="1" x14ac:dyDescent="0.3">
      <c r="A73" s="4"/>
      <c r="B73" s="4"/>
      <c r="C73" s="4"/>
      <c r="D73" s="4"/>
      <c r="E73" s="4"/>
      <c r="F73" s="4"/>
      <c r="G73" s="4"/>
    </row>
    <row r="74" spans="1:7" ht="15.75" customHeight="1" x14ac:dyDescent="0.3">
      <c r="A74" s="4"/>
      <c r="B74" s="4"/>
      <c r="C74" s="4"/>
      <c r="D74" s="4"/>
      <c r="E74" s="4"/>
      <c r="F74" s="4"/>
      <c r="G74" s="4"/>
    </row>
    <row r="75" spans="1:7" ht="15.75" customHeight="1" x14ac:dyDescent="0.3">
      <c r="A75" s="4"/>
      <c r="B75" s="4"/>
      <c r="C75" s="4"/>
      <c r="D75" s="4"/>
      <c r="E75" s="4"/>
      <c r="F75" s="4"/>
      <c r="G75" s="4"/>
    </row>
    <row r="76" spans="1:7" ht="15.75" customHeight="1" x14ac:dyDescent="0.3">
      <c r="A76" s="4"/>
      <c r="B76" s="4"/>
      <c r="C76" s="4"/>
      <c r="D76" s="4"/>
      <c r="E76" s="4"/>
      <c r="F76" s="4"/>
      <c r="G76" s="4"/>
    </row>
    <row r="77" spans="1:7" ht="15.75" customHeight="1" x14ac:dyDescent="0.3">
      <c r="A77" s="4"/>
      <c r="B77" s="4"/>
      <c r="C77" s="4"/>
      <c r="D77" s="4"/>
      <c r="E77" s="4"/>
      <c r="F77" s="4"/>
      <c r="G77" s="4"/>
    </row>
    <row r="78" spans="1:7" ht="15.75" customHeight="1" x14ac:dyDescent="0.3">
      <c r="A78" s="4"/>
      <c r="B78" s="4"/>
      <c r="C78" s="4"/>
      <c r="D78" s="4"/>
      <c r="E78" s="4"/>
      <c r="F78" s="4"/>
      <c r="G78" s="4"/>
    </row>
    <row r="79" spans="1:7" ht="15.75" customHeight="1" x14ac:dyDescent="0.3">
      <c r="A79" s="4"/>
      <c r="B79" s="4"/>
      <c r="C79" s="4"/>
      <c r="D79" s="4"/>
      <c r="E79" s="4"/>
      <c r="F79" s="4"/>
      <c r="G79" s="4"/>
    </row>
    <row r="80" spans="1:7" ht="15.75" customHeight="1" x14ac:dyDescent="0.3">
      <c r="A80" s="4"/>
      <c r="B80" s="4"/>
      <c r="C80" s="4"/>
      <c r="D80" s="4"/>
      <c r="E80" s="4"/>
      <c r="F80" s="4"/>
      <c r="G80" s="4"/>
    </row>
    <row r="81" spans="1:7" ht="15.75" customHeight="1" x14ac:dyDescent="0.3">
      <c r="A81" s="4"/>
      <c r="B81" s="4"/>
      <c r="C81" s="4"/>
      <c r="D81" s="4"/>
      <c r="E81" s="4"/>
      <c r="F81" s="4"/>
      <c r="G81" s="4"/>
    </row>
    <row r="82" spans="1:7" ht="15.75" customHeight="1" x14ac:dyDescent="0.3">
      <c r="A82" s="4"/>
      <c r="B82" s="4"/>
      <c r="C82" s="4"/>
      <c r="D82" s="4"/>
      <c r="E82" s="4"/>
      <c r="F82" s="4"/>
      <c r="G82" s="4"/>
    </row>
    <row r="83" spans="1:7" ht="15.75" customHeight="1" x14ac:dyDescent="0.3">
      <c r="A83" s="4"/>
      <c r="B83" s="4"/>
      <c r="C83" s="4"/>
      <c r="D83" s="4"/>
      <c r="E83" s="4"/>
      <c r="F83" s="4"/>
      <c r="G83" s="4"/>
    </row>
    <row r="84" spans="1:7" ht="15.75" customHeight="1" x14ac:dyDescent="0.3">
      <c r="A84" s="4"/>
      <c r="B84" s="4"/>
      <c r="C84" s="4"/>
      <c r="D84" s="4"/>
      <c r="E84" s="4"/>
      <c r="F84" s="4"/>
      <c r="G84" s="4"/>
    </row>
    <row r="85" spans="1:7" ht="15.75" customHeight="1" x14ac:dyDescent="0.3">
      <c r="A85" s="4"/>
      <c r="B85" s="4"/>
      <c r="C85" s="4"/>
      <c r="D85" s="4"/>
      <c r="E85" s="4"/>
      <c r="F85" s="4"/>
      <c r="G85" s="4"/>
    </row>
    <row r="86" spans="1:7" ht="15.75" customHeight="1" x14ac:dyDescent="0.3">
      <c r="A86" s="4"/>
      <c r="B86" s="4"/>
      <c r="C86" s="4"/>
      <c r="D86" s="4"/>
      <c r="E86" s="4"/>
      <c r="F86" s="4"/>
      <c r="G86" s="4"/>
    </row>
    <row r="87" spans="1:7" ht="15.75" customHeight="1" x14ac:dyDescent="0.3">
      <c r="A87" s="4"/>
      <c r="B87" s="4"/>
      <c r="C87" s="4"/>
      <c r="D87" s="4"/>
      <c r="E87" s="4"/>
      <c r="F87" s="4"/>
      <c r="G87" s="4"/>
    </row>
    <row r="88" spans="1:7" ht="15.75" customHeight="1" x14ac:dyDescent="0.3">
      <c r="A88" s="4"/>
      <c r="B88" s="4"/>
      <c r="C88" s="4"/>
      <c r="D88" s="4"/>
      <c r="E88" s="4"/>
      <c r="F88" s="4"/>
      <c r="G88" s="4"/>
    </row>
    <row r="89" spans="1:7" ht="15.75" customHeight="1" x14ac:dyDescent="0.3">
      <c r="A89" s="4"/>
      <c r="B89" s="4"/>
      <c r="C89" s="4"/>
      <c r="D89" s="4"/>
      <c r="E89" s="4"/>
      <c r="F89" s="4"/>
      <c r="G89" s="4"/>
    </row>
    <row r="90" spans="1:7" ht="15.75" customHeight="1" x14ac:dyDescent="0.3">
      <c r="A90" s="4"/>
      <c r="B90" s="4"/>
      <c r="C90" s="4"/>
      <c r="D90" s="4"/>
      <c r="E90" s="4"/>
      <c r="F90" s="4"/>
      <c r="G90" s="4"/>
    </row>
    <row r="91" spans="1:7" ht="15.75" customHeight="1" x14ac:dyDescent="0.3">
      <c r="A91" s="4"/>
      <c r="B91" s="4"/>
      <c r="C91" s="4"/>
      <c r="D91" s="4"/>
      <c r="E91" s="4"/>
      <c r="F91" s="4"/>
      <c r="G91" s="4"/>
    </row>
    <row r="92" spans="1:7" ht="15.75" customHeight="1" x14ac:dyDescent="0.3">
      <c r="A92" s="4"/>
      <c r="B92" s="4"/>
      <c r="C92" s="4"/>
      <c r="D92" s="4"/>
      <c r="E92" s="4"/>
      <c r="F92" s="4"/>
      <c r="G92" s="4"/>
    </row>
    <row r="93" spans="1:7" ht="15.75" customHeight="1" x14ac:dyDescent="0.3">
      <c r="A93" s="4"/>
      <c r="B93" s="4"/>
      <c r="C93" s="4"/>
      <c r="D93" s="4"/>
      <c r="E93" s="4"/>
      <c r="F93" s="4"/>
      <c r="G93" s="4"/>
    </row>
    <row r="94" spans="1:7" ht="15.75" customHeight="1" x14ac:dyDescent="0.3">
      <c r="A94" s="4"/>
      <c r="B94" s="4"/>
      <c r="C94" s="4"/>
      <c r="D94" s="4"/>
      <c r="E94" s="4"/>
      <c r="F94" s="4"/>
      <c r="G94" s="4"/>
    </row>
    <row r="95" spans="1:7" ht="15.75" customHeight="1" x14ac:dyDescent="0.3">
      <c r="A95" s="4"/>
      <c r="B95" s="4"/>
      <c r="C95" s="4"/>
      <c r="D95" s="4"/>
      <c r="E95" s="4"/>
      <c r="F95" s="4"/>
      <c r="G95" s="4"/>
    </row>
    <row r="96" spans="1:7" ht="15.75" customHeight="1" x14ac:dyDescent="0.3">
      <c r="A96" s="4"/>
      <c r="B96" s="4"/>
      <c r="C96" s="4"/>
      <c r="D96" s="4"/>
      <c r="E96" s="4"/>
      <c r="F96" s="4"/>
      <c r="G96" s="4"/>
    </row>
    <row r="97" spans="1:7" ht="15.75" customHeight="1" x14ac:dyDescent="0.3">
      <c r="A97" s="4"/>
      <c r="B97" s="4"/>
      <c r="C97" s="4"/>
      <c r="D97" s="4"/>
      <c r="E97" s="4"/>
      <c r="F97" s="4"/>
      <c r="G97" s="4"/>
    </row>
    <row r="98" spans="1:7" ht="15.75" customHeight="1" x14ac:dyDescent="0.3">
      <c r="A98" s="4"/>
      <c r="B98" s="4"/>
      <c r="C98" s="4"/>
      <c r="D98" s="4"/>
      <c r="E98" s="4"/>
      <c r="F98" s="4"/>
      <c r="G98" s="4"/>
    </row>
    <row r="99" spans="1:7" ht="15.75" customHeight="1" x14ac:dyDescent="0.3">
      <c r="A99" s="4"/>
      <c r="B99" s="4"/>
      <c r="C99" s="4"/>
      <c r="D99" s="4"/>
      <c r="E99" s="4"/>
      <c r="F99" s="4"/>
      <c r="G99" s="4"/>
    </row>
    <row r="100" spans="1:7" ht="15.75" customHeight="1" x14ac:dyDescent="0.3">
      <c r="A100" s="4"/>
      <c r="B100" s="4"/>
      <c r="C100" s="4"/>
      <c r="D100" s="4"/>
      <c r="E100" s="4"/>
      <c r="F100" s="4"/>
      <c r="G100" s="4"/>
    </row>
    <row r="101" spans="1:7" ht="15.75" customHeight="1" x14ac:dyDescent="0.3">
      <c r="A101" s="4"/>
      <c r="B101" s="4"/>
      <c r="C101" s="4"/>
      <c r="D101" s="4"/>
      <c r="E101" s="4"/>
      <c r="F101" s="4"/>
      <c r="G101" s="4"/>
    </row>
    <row r="102" spans="1:7" ht="15.75" customHeight="1" x14ac:dyDescent="0.3">
      <c r="A102" s="4"/>
      <c r="B102" s="4"/>
      <c r="C102" s="4"/>
      <c r="D102" s="4"/>
      <c r="E102" s="4"/>
      <c r="F102" s="4"/>
      <c r="G102" s="4"/>
    </row>
    <row r="103" spans="1:7" ht="15.75" customHeight="1" x14ac:dyDescent="0.3">
      <c r="A103" s="4"/>
      <c r="B103" s="4"/>
      <c r="C103" s="4"/>
      <c r="D103" s="4"/>
      <c r="E103" s="4"/>
      <c r="F103" s="4"/>
      <c r="G103" s="4"/>
    </row>
    <row r="104" spans="1:7" ht="15.75" customHeight="1" x14ac:dyDescent="0.3">
      <c r="A104" s="4"/>
      <c r="B104" s="4"/>
      <c r="C104" s="4"/>
      <c r="D104" s="4"/>
      <c r="E104" s="4"/>
      <c r="F104" s="4"/>
      <c r="G104" s="4"/>
    </row>
    <row r="105" spans="1:7" ht="15.75" customHeight="1" x14ac:dyDescent="0.3">
      <c r="A105" s="4"/>
      <c r="B105" s="4"/>
      <c r="C105" s="4"/>
      <c r="D105" s="4"/>
      <c r="E105" s="4"/>
      <c r="F105" s="4"/>
      <c r="G105" s="4"/>
    </row>
    <row r="106" spans="1:7" ht="15.75" customHeight="1" x14ac:dyDescent="0.3">
      <c r="A106" s="4"/>
      <c r="B106" s="4"/>
      <c r="C106" s="4"/>
      <c r="D106" s="4"/>
      <c r="E106" s="4"/>
      <c r="F106" s="4"/>
      <c r="G106" s="4"/>
    </row>
    <row r="107" spans="1:7" ht="15.75" customHeight="1" x14ac:dyDescent="0.3">
      <c r="A107" s="4"/>
      <c r="B107" s="4"/>
      <c r="C107" s="4"/>
      <c r="D107" s="4"/>
      <c r="E107" s="4"/>
      <c r="F107" s="4"/>
      <c r="G107" s="4"/>
    </row>
    <row r="108" spans="1:7" ht="15.75" customHeight="1" x14ac:dyDescent="0.3">
      <c r="A108" s="4"/>
      <c r="B108" s="4"/>
      <c r="C108" s="4"/>
      <c r="D108" s="4"/>
      <c r="E108" s="4"/>
      <c r="F108" s="4"/>
      <c r="G108" s="4"/>
    </row>
    <row r="109" spans="1:7" ht="15.75" customHeight="1" x14ac:dyDescent="0.3">
      <c r="A109" s="4"/>
      <c r="B109" s="4"/>
      <c r="C109" s="4"/>
      <c r="D109" s="4"/>
      <c r="E109" s="4"/>
      <c r="F109" s="4"/>
      <c r="G109" s="4"/>
    </row>
    <row r="110" spans="1:7" ht="15.75" customHeight="1" x14ac:dyDescent="0.3">
      <c r="A110" s="4"/>
      <c r="B110" s="4"/>
      <c r="C110" s="4"/>
      <c r="D110" s="4"/>
      <c r="E110" s="4"/>
      <c r="F110" s="4"/>
      <c r="G110" s="4"/>
    </row>
    <row r="111" spans="1:7" ht="15.75" customHeight="1" x14ac:dyDescent="0.3">
      <c r="A111" s="4"/>
      <c r="B111" s="4"/>
      <c r="C111" s="4"/>
      <c r="D111" s="4"/>
      <c r="E111" s="4"/>
      <c r="F111" s="4"/>
      <c r="G111" s="4"/>
    </row>
    <row r="112" spans="1:7" ht="15.75" customHeight="1" x14ac:dyDescent="0.3">
      <c r="A112" s="4"/>
      <c r="B112" s="4"/>
      <c r="C112" s="4"/>
      <c r="D112" s="4"/>
      <c r="E112" s="4"/>
      <c r="F112" s="4"/>
      <c r="G112" s="4"/>
    </row>
    <row r="113" spans="1:7" ht="15.75" customHeight="1" x14ac:dyDescent="0.3">
      <c r="A113" s="4"/>
      <c r="B113" s="4"/>
      <c r="C113" s="4"/>
      <c r="D113" s="4"/>
      <c r="E113" s="4"/>
      <c r="F113" s="4"/>
      <c r="G113" s="4"/>
    </row>
    <row r="114" spans="1:7" ht="15.75" customHeight="1" x14ac:dyDescent="0.3">
      <c r="A114" s="4"/>
      <c r="B114" s="4"/>
      <c r="C114" s="4"/>
      <c r="D114" s="4"/>
      <c r="E114" s="4"/>
      <c r="F114" s="4"/>
      <c r="G114" s="4"/>
    </row>
    <row r="115" spans="1:7" ht="15.75" customHeight="1" x14ac:dyDescent="0.3">
      <c r="A115" s="4"/>
      <c r="B115" s="4"/>
      <c r="C115" s="4"/>
      <c r="D115" s="4"/>
      <c r="E115" s="4"/>
      <c r="F115" s="4"/>
      <c r="G115" s="4"/>
    </row>
    <row r="116" spans="1:7" ht="15.75" customHeight="1" x14ac:dyDescent="0.3">
      <c r="A116" s="4"/>
      <c r="B116" s="4"/>
      <c r="C116" s="4"/>
      <c r="D116" s="4"/>
      <c r="E116" s="4"/>
      <c r="F116" s="4"/>
      <c r="G116" s="4"/>
    </row>
    <row r="117" spans="1:7" ht="15.75" customHeight="1" x14ac:dyDescent="0.3">
      <c r="A117" s="4"/>
      <c r="B117" s="4"/>
      <c r="C117" s="4"/>
      <c r="D117" s="4"/>
      <c r="E117" s="4"/>
      <c r="F117" s="4"/>
      <c r="G117" s="4"/>
    </row>
    <row r="118" spans="1:7" ht="15.75" customHeight="1" x14ac:dyDescent="0.3">
      <c r="A118" s="4"/>
      <c r="B118" s="4"/>
      <c r="C118" s="4"/>
      <c r="D118" s="4"/>
      <c r="E118" s="4"/>
      <c r="F118" s="4"/>
      <c r="G118" s="4"/>
    </row>
    <row r="119" spans="1:7" ht="15.75" customHeight="1" x14ac:dyDescent="0.3">
      <c r="A119" s="4"/>
      <c r="B119" s="4"/>
      <c r="C119" s="4"/>
      <c r="D119" s="4"/>
      <c r="E119" s="4"/>
      <c r="F119" s="4"/>
      <c r="G119" s="4"/>
    </row>
    <row r="120" spans="1:7" ht="15.75" customHeight="1" x14ac:dyDescent="0.3">
      <c r="A120" s="4"/>
      <c r="B120" s="4"/>
      <c r="C120" s="4"/>
      <c r="D120" s="4"/>
      <c r="E120" s="4"/>
      <c r="F120" s="4"/>
      <c r="G120" s="4"/>
    </row>
    <row r="121" spans="1:7" ht="15.75" customHeight="1" x14ac:dyDescent="0.3">
      <c r="A121" s="4"/>
      <c r="B121" s="4"/>
      <c r="C121" s="4"/>
      <c r="D121" s="4"/>
      <c r="E121" s="4"/>
      <c r="F121" s="4"/>
      <c r="G121" s="4"/>
    </row>
    <row r="122" spans="1:7" ht="15.75" customHeight="1" x14ac:dyDescent="0.3">
      <c r="A122" s="4"/>
      <c r="B122" s="4"/>
      <c r="C122" s="4"/>
      <c r="D122" s="4"/>
      <c r="E122" s="4"/>
      <c r="F122" s="4"/>
      <c r="G122" s="4"/>
    </row>
    <row r="123" spans="1:7" ht="15.75" customHeight="1" x14ac:dyDescent="0.3">
      <c r="A123" s="4"/>
      <c r="B123" s="4"/>
      <c r="C123" s="4"/>
      <c r="D123" s="4"/>
      <c r="E123" s="4"/>
      <c r="F123" s="4"/>
      <c r="G123" s="4"/>
    </row>
    <row r="124" spans="1:7" ht="15.75" customHeight="1" x14ac:dyDescent="0.3">
      <c r="A124" s="4"/>
      <c r="B124" s="4"/>
      <c r="C124" s="4"/>
      <c r="D124" s="4"/>
      <c r="E124" s="4"/>
      <c r="F124" s="4"/>
      <c r="G124" s="4"/>
    </row>
    <row r="125" spans="1:7" ht="15.75" customHeight="1" x14ac:dyDescent="0.3">
      <c r="A125" s="4"/>
      <c r="B125" s="4"/>
      <c r="C125" s="4"/>
      <c r="D125" s="4"/>
      <c r="E125" s="4"/>
      <c r="F125" s="4"/>
      <c r="G125" s="4"/>
    </row>
    <row r="126" spans="1:7" ht="15.75" customHeight="1" x14ac:dyDescent="0.3">
      <c r="A126" s="4"/>
      <c r="B126" s="4"/>
      <c r="C126" s="4"/>
      <c r="D126" s="4"/>
      <c r="E126" s="4"/>
      <c r="F126" s="4"/>
      <c r="G126" s="4"/>
    </row>
    <row r="127" spans="1:7" ht="15.75" customHeight="1" x14ac:dyDescent="0.3">
      <c r="A127" s="4"/>
      <c r="B127" s="4"/>
      <c r="C127" s="4"/>
      <c r="D127" s="4"/>
      <c r="E127" s="4"/>
      <c r="F127" s="4"/>
      <c r="G127" s="4"/>
    </row>
    <row r="128" spans="1:7" ht="15.75" customHeight="1" x14ac:dyDescent="0.3">
      <c r="A128" s="4"/>
      <c r="B128" s="4"/>
      <c r="C128" s="4"/>
      <c r="D128" s="4"/>
      <c r="E128" s="4"/>
      <c r="F128" s="4"/>
      <c r="G128" s="4"/>
    </row>
    <row r="129" spans="1:7" ht="15.75" customHeight="1" x14ac:dyDescent="0.3">
      <c r="A129" s="4"/>
      <c r="B129" s="4"/>
      <c r="C129" s="4"/>
      <c r="D129" s="4"/>
      <c r="E129" s="4"/>
      <c r="F129" s="4"/>
      <c r="G129" s="4"/>
    </row>
    <row r="130" spans="1:7" ht="15.75" customHeight="1" x14ac:dyDescent="0.3">
      <c r="A130" s="4"/>
      <c r="B130" s="4"/>
      <c r="C130" s="4"/>
      <c r="D130" s="4"/>
      <c r="E130" s="4"/>
      <c r="F130" s="4"/>
      <c r="G130" s="4"/>
    </row>
    <row r="131" spans="1:7" ht="15.75" customHeight="1" x14ac:dyDescent="0.3">
      <c r="A131" s="4"/>
      <c r="B131" s="4"/>
      <c r="C131" s="4"/>
      <c r="D131" s="4"/>
      <c r="E131" s="4"/>
      <c r="F131" s="4"/>
      <c r="G131" s="4"/>
    </row>
    <row r="132" spans="1:7" ht="15.75" customHeight="1" x14ac:dyDescent="0.3">
      <c r="A132" s="4"/>
      <c r="B132" s="4"/>
      <c r="C132" s="4"/>
      <c r="D132" s="4"/>
      <c r="E132" s="4"/>
      <c r="F132" s="4"/>
      <c r="G132" s="4"/>
    </row>
    <row r="133" spans="1:7" ht="15.75" customHeight="1" x14ac:dyDescent="0.3">
      <c r="A133" s="4"/>
      <c r="B133" s="4"/>
      <c r="C133" s="4"/>
      <c r="D133" s="4"/>
      <c r="E133" s="4"/>
      <c r="F133" s="4"/>
      <c r="G133" s="4"/>
    </row>
    <row r="134" spans="1:7" ht="15.75" customHeight="1" x14ac:dyDescent="0.3">
      <c r="A134" s="4"/>
      <c r="B134" s="4"/>
      <c r="C134" s="4"/>
      <c r="D134" s="4"/>
      <c r="E134" s="4"/>
      <c r="F134" s="4"/>
      <c r="G134" s="4"/>
    </row>
    <row r="135" spans="1:7" ht="15.75" customHeight="1" x14ac:dyDescent="0.3">
      <c r="A135" s="4"/>
      <c r="B135" s="4"/>
      <c r="C135" s="4"/>
      <c r="D135" s="4"/>
      <c r="E135" s="4"/>
      <c r="F135" s="4"/>
      <c r="G135" s="4"/>
    </row>
    <row r="136" spans="1:7" ht="15.75" customHeight="1" x14ac:dyDescent="0.3">
      <c r="A136" s="4"/>
      <c r="B136" s="4"/>
      <c r="C136" s="4"/>
      <c r="D136" s="4"/>
      <c r="E136" s="4"/>
      <c r="F136" s="4"/>
      <c r="G136" s="4"/>
    </row>
    <row r="137" spans="1:7" ht="15.75" customHeight="1" x14ac:dyDescent="0.3">
      <c r="A137" s="4"/>
      <c r="B137" s="4"/>
      <c r="C137" s="4"/>
      <c r="D137" s="4"/>
      <c r="E137" s="4"/>
      <c r="F137" s="4"/>
      <c r="G137" s="4"/>
    </row>
    <row r="138" spans="1:7" ht="15.75" customHeight="1" x14ac:dyDescent="0.3">
      <c r="A138" s="4"/>
      <c r="B138" s="4"/>
      <c r="C138" s="4"/>
      <c r="D138" s="4"/>
      <c r="E138" s="4"/>
      <c r="F138" s="4"/>
      <c r="G138" s="4"/>
    </row>
    <row r="139" spans="1:7" ht="15.75" customHeight="1" x14ac:dyDescent="0.3">
      <c r="A139" s="4"/>
      <c r="B139" s="4"/>
      <c r="C139" s="4"/>
      <c r="D139" s="4"/>
      <c r="E139" s="4"/>
      <c r="F139" s="4"/>
      <c r="G139" s="4"/>
    </row>
    <row r="140" spans="1:7" ht="15.75" customHeight="1" x14ac:dyDescent="0.3">
      <c r="A140" s="4"/>
      <c r="B140" s="4"/>
      <c r="C140" s="4"/>
      <c r="D140" s="4"/>
      <c r="E140" s="4"/>
      <c r="F140" s="4"/>
      <c r="G140" s="4"/>
    </row>
    <row r="141" spans="1:7" ht="15.75" customHeight="1" x14ac:dyDescent="0.3">
      <c r="A141" s="4"/>
      <c r="B141" s="4"/>
      <c r="C141" s="4"/>
      <c r="D141" s="4"/>
      <c r="E141" s="4"/>
      <c r="F141" s="4"/>
      <c r="G141" s="4"/>
    </row>
    <row r="142" spans="1:7" ht="15.75" customHeight="1" x14ac:dyDescent="0.3">
      <c r="A142" s="4"/>
      <c r="B142" s="4"/>
      <c r="C142" s="4"/>
      <c r="D142" s="4"/>
      <c r="E142" s="4"/>
      <c r="F142" s="4"/>
      <c r="G142" s="4"/>
    </row>
    <row r="143" spans="1:7" ht="15.75" customHeight="1" x14ac:dyDescent="0.3">
      <c r="A143" s="4"/>
      <c r="B143" s="4"/>
      <c r="C143" s="4"/>
      <c r="D143" s="4"/>
      <c r="E143" s="4"/>
      <c r="F143" s="4"/>
      <c r="G143" s="4"/>
    </row>
    <row r="144" spans="1:7" ht="15.75" customHeight="1" x14ac:dyDescent="0.3">
      <c r="A144" s="4"/>
      <c r="B144" s="4"/>
      <c r="C144" s="4"/>
      <c r="D144" s="4"/>
      <c r="E144" s="4"/>
      <c r="F144" s="4"/>
      <c r="G144" s="4"/>
    </row>
    <row r="145" spans="1:7" ht="15.75" customHeight="1" x14ac:dyDescent="0.3">
      <c r="A145" s="4"/>
      <c r="B145" s="4"/>
      <c r="C145" s="4"/>
      <c r="D145" s="4"/>
      <c r="E145" s="4"/>
      <c r="F145" s="4"/>
      <c r="G145" s="4"/>
    </row>
    <row r="146" spans="1:7" ht="15.75" customHeight="1" x14ac:dyDescent="0.3">
      <c r="A146" s="4"/>
      <c r="B146" s="4"/>
      <c r="C146" s="4"/>
      <c r="D146" s="4"/>
      <c r="E146" s="4"/>
      <c r="F146" s="4"/>
      <c r="G146" s="4"/>
    </row>
    <row r="147" spans="1:7" ht="15.75" customHeight="1" x14ac:dyDescent="0.3">
      <c r="A147" s="4"/>
      <c r="B147" s="4"/>
      <c r="C147" s="4"/>
      <c r="D147" s="4"/>
      <c r="E147" s="4"/>
      <c r="F147" s="4"/>
      <c r="G147" s="4"/>
    </row>
    <row r="148" spans="1:7" ht="15.75" customHeight="1" x14ac:dyDescent="0.3">
      <c r="A148" s="4"/>
      <c r="B148" s="4"/>
      <c r="C148" s="4"/>
      <c r="D148" s="4"/>
      <c r="E148" s="4"/>
      <c r="F148" s="4"/>
      <c r="G148" s="4"/>
    </row>
    <row r="149" spans="1:7" ht="15.75" customHeight="1" x14ac:dyDescent="0.3">
      <c r="A149" s="4"/>
      <c r="B149" s="4"/>
      <c r="C149" s="4"/>
      <c r="D149" s="4"/>
      <c r="E149" s="4"/>
      <c r="F149" s="4"/>
      <c r="G149" s="4"/>
    </row>
    <row r="150" spans="1:7" ht="15.75" customHeight="1" x14ac:dyDescent="0.3">
      <c r="A150" s="4"/>
      <c r="B150" s="4"/>
      <c r="C150" s="4"/>
      <c r="D150" s="4"/>
      <c r="E150" s="4"/>
      <c r="F150" s="4"/>
      <c r="G150" s="4"/>
    </row>
    <row r="151" spans="1:7" ht="15.75" customHeight="1" x14ac:dyDescent="0.3">
      <c r="A151" s="4"/>
      <c r="B151" s="4"/>
      <c r="C151" s="4"/>
      <c r="D151" s="4"/>
      <c r="E151" s="4"/>
      <c r="F151" s="4"/>
      <c r="G151" s="4"/>
    </row>
    <row r="152" spans="1:7" ht="15.75" customHeight="1" x14ac:dyDescent="0.3">
      <c r="A152" s="4"/>
      <c r="B152" s="4"/>
      <c r="C152" s="4"/>
      <c r="D152" s="4"/>
      <c r="E152" s="4"/>
      <c r="F152" s="4"/>
      <c r="G152" s="4"/>
    </row>
    <row r="153" spans="1:7" ht="15.75" customHeight="1" x14ac:dyDescent="0.3">
      <c r="A153" s="4"/>
      <c r="B153" s="4"/>
      <c r="C153" s="4"/>
      <c r="D153" s="4"/>
      <c r="E153" s="4"/>
      <c r="F153" s="4"/>
      <c r="G153" s="4"/>
    </row>
    <row r="154" spans="1:7" ht="15.75" customHeight="1" x14ac:dyDescent="0.3">
      <c r="A154" s="4"/>
      <c r="B154" s="4"/>
      <c r="C154" s="4"/>
      <c r="D154" s="4"/>
      <c r="E154" s="4"/>
      <c r="F154" s="4"/>
      <c r="G154" s="4"/>
    </row>
    <row r="155" spans="1:7" ht="15.75" customHeight="1" x14ac:dyDescent="0.3">
      <c r="A155" s="4"/>
      <c r="B155" s="4"/>
      <c r="C155" s="4"/>
      <c r="D155" s="4"/>
      <c r="E155" s="4"/>
      <c r="F155" s="4"/>
      <c r="G155" s="4"/>
    </row>
    <row r="156" spans="1:7" ht="15.75" customHeight="1" x14ac:dyDescent="0.3">
      <c r="A156" s="4"/>
      <c r="B156" s="4"/>
      <c r="C156" s="4"/>
      <c r="D156" s="4"/>
      <c r="E156" s="4"/>
      <c r="F156" s="4"/>
      <c r="G156" s="4"/>
    </row>
    <row r="157" spans="1:7" ht="15.75" customHeight="1" x14ac:dyDescent="0.3">
      <c r="A157" s="4"/>
      <c r="B157" s="4"/>
      <c r="C157" s="4"/>
      <c r="D157" s="4"/>
      <c r="E157" s="4"/>
      <c r="F157" s="4"/>
      <c r="G157" s="4"/>
    </row>
    <row r="158" spans="1:7" ht="15.75" customHeight="1" x14ac:dyDescent="0.3">
      <c r="A158" s="4"/>
      <c r="B158" s="4"/>
      <c r="C158" s="4"/>
      <c r="D158" s="4"/>
      <c r="E158" s="4"/>
      <c r="F158" s="4"/>
      <c r="G158" s="4"/>
    </row>
    <row r="159" spans="1:7" ht="15.75" customHeight="1" x14ac:dyDescent="0.3">
      <c r="A159" s="4"/>
      <c r="B159" s="4"/>
      <c r="C159" s="4"/>
      <c r="D159" s="4"/>
      <c r="E159" s="4"/>
      <c r="F159" s="4"/>
      <c r="G159" s="4"/>
    </row>
    <row r="160" spans="1:7" ht="15.75" customHeight="1" x14ac:dyDescent="0.3">
      <c r="A160" s="4"/>
      <c r="B160" s="4"/>
      <c r="C160" s="4"/>
      <c r="D160" s="4"/>
      <c r="E160" s="4"/>
      <c r="F160" s="4"/>
      <c r="G160" s="4"/>
    </row>
    <row r="161" spans="1:7" ht="15.75" customHeight="1" x14ac:dyDescent="0.3">
      <c r="A161" s="4"/>
      <c r="B161" s="4"/>
      <c r="C161" s="4"/>
      <c r="D161" s="4"/>
      <c r="E161" s="4"/>
      <c r="F161" s="4"/>
      <c r="G161" s="4"/>
    </row>
    <row r="162" spans="1:7" ht="15.75" customHeight="1" x14ac:dyDescent="0.3">
      <c r="A162" s="4"/>
      <c r="B162" s="4"/>
      <c r="C162" s="4"/>
      <c r="D162" s="4"/>
      <c r="E162" s="4"/>
      <c r="F162" s="4"/>
      <c r="G162" s="4"/>
    </row>
    <row r="163" spans="1:7" ht="15.75" customHeight="1" x14ac:dyDescent="0.3">
      <c r="A163" s="4"/>
      <c r="B163" s="4"/>
      <c r="C163" s="4"/>
      <c r="D163" s="4"/>
      <c r="E163" s="4"/>
      <c r="F163" s="4"/>
      <c r="G163" s="4"/>
    </row>
    <row r="164" spans="1:7" ht="15.75" customHeight="1" x14ac:dyDescent="0.3">
      <c r="A164" s="4"/>
      <c r="B164" s="4"/>
      <c r="C164" s="4"/>
      <c r="D164" s="4"/>
      <c r="E164" s="4"/>
      <c r="F164" s="4"/>
      <c r="G164" s="4"/>
    </row>
    <row r="165" spans="1:7" ht="15.75" customHeight="1" x14ac:dyDescent="0.3">
      <c r="A165" s="4"/>
      <c r="B165" s="4"/>
      <c r="C165" s="4"/>
      <c r="D165" s="4"/>
      <c r="E165" s="4"/>
      <c r="F165" s="4"/>
      <c r="G165" s="4"/>
    </row>
    <row r="166" spans="1:7" ht="15.75" customHeight="1" x14ac:dyDescent="0.3">
      <c r="A166" s="4"/>
      <c r="B166" s="4"/>
      <c r="C166" s="4"/>
      <c r="D166" s="4"/>
      <c r="E166" s="4"/>
      <c r="F166" s="4"/>
      <c r="G166" s="4"/>
    </row>
    <row r="167" spans="1:7" ht="15.75" customHeight="1" x14ac:dyDescent="0.3">
      <c r="A167" s="4"/>
      <c r="B167" s="4"/>
      <c r="C167" s="4"/>
      <c r="D167" s="4"/>
      <c r="E167" s="4"/>
      <c r="F167" s="4"/>
      <c r="G167" s="4"/>
    </row>
    <row r="168" spans="1:7" ht="15.75" customHeight="1" x14ac:dyDescent="0.3">
      <c r="A168" s="4"/>
      <c r="B168" s="4"/>
      <c r="C168" s="4"/>
      <c r="D168" s="4"/>
      <c r="E168" s="4"/>
      <c r="F168" s="4"/>
      <c r="G168" s="4"/>
    </row>
    <row r="169" spans="1:7" ht="15.75" customHeight="1" x14ac:dyDescent="0.3">
      <c r="A169" s="4"/>
      <c r="B169" s="4"/>
      <c r="C169" s="4"/>
      <c r="D169" s="4"/>
      <c r="E169" s="4"/>
      <c r="F169" s="4"/>
      <c r="G169" s="4"/>
    </row>
    <row r="170" spans="1:7" ht="15.75" customHeight="1" x14ac:dyDescent="0.3">
      <c r="A170" s="4"/>
      <c r="B170" s="4"/>
      <c r="C170" s="4"/>
      <c r="D170" s="4"/>
      <c r="E170" s="4"/>
      <c r="F170" s="4"/>
      <c r="G170" s="4"/>
    </row>
    <row r="171" spans="1:7" ht="15.75" customHeight="1" x14ac:dyDescent="0.3">
      <c r="A171" s="4"/>
      <c r="B171" s="4"/>
      <c r="C171" s="4"/>
      <c r="D171" s="4"/>
      <c r="E171" s="4"/>
      <c r="F171" s="4"/>
      <c r="G171" s="4"/>
    </row>
    <row r="172" spans="1:7" ht="15.75" customHeight="1" x14ac:dyDescent="0.3">
      <c r="A172" s="4"/>
      <c r="B172" s="4"/>
      <c r="C172" s="4"/>
      <c r="D172" s="4"/>
      <c r="E172" s="4"/>
      <c r="F172" s="4"/>
      <c r="G172" s="4"/>
    </row>
    <row r="173" spans="1:7" ht="15.75" customHeight="1" x14ac:dyDescent="0.3">
      <c r="A173" s="4"/>
      <c r="B173" s="4"/>
      <c r="C173" s="4"/>
      <c r="D173" s="4"/>
      <c r="E173" s="4"/>
      <c r="F173" s="4"/>
      <c r="G173" s="4"/>
    </row>
    <row r="174" spans="1:7" ht="15.75" customHeight="1" x14ac:dyDescent="0.3">
      <c r="A174" s="4"/>
      <c r="B174" s="4"/>
      <c r="C174" s="4"/>
      <c r="D174" s="4"/>
      <c r="E174" s="4"/>
      <c r="F174" s="4"/>
      <c r="G174" s="4"/>
    </row>
    <row r="175" spans="1:7" ht="15.75" customHeight="1" x14ac:dyDescent="0.3">
      <c r="A175" s="4"/>
      <c r="B175" s="4"/>
      <c r="C175" s="4"/>
      <c r="D175" s="4"/>
      <c r="E175" s="4"/>
      <c r="F175" s="4"/>
      <c r="G175" s="4"/>
    </row>
    <row r="176" spans="1:7" ht="15.75" customHeight="1" x14ac:dyDescent="0.3">
      <c r="A176" s="4"/>
      <c r="B176" s="4"/>
      <c r="C176" s="4"/>
      <c r="D176" s="4"/>
      <c r="E176" s="4"/>
      <c r="F176" s="4"/>
      <c r="G176" s="4"/>
    </row>
    <row r="177" spans="1:7" ht="15.75" customHeight="1" x14ac:dyDescent="0.3">
      <c r="A177" s="4"/>
      <c r="B177" s="4"/>
      <c r="C177" s="4"/>
      <c r="D177" s="4"/>
      <c r="E177" s="4"/>
      <c r="F177" s="4"/>
      <c r="G177" s="4"/>
    </row>
    <row r="178" spans="1:7" ht="15.75" customHeight="1" x14ac:dyDescent="0.3">
      <c r="A178" s="4"/>
      <c r="B178" s="4"/>
      <c r="C178" s="4"/>
      <c r="D178" s="4"/>
      <c r="E178" s="4"/>
      <c r="F178" s="4"/>
      <c r="G178" s="4"/>
    </row>
    <row r="179" spans="1:7" ht="15.75" customHeight="1" x14ac:dyDescent="0.3">
      <c r="A179" s="4"/>
      <c r="B179" s="4"/>
      <c r="C179" s="4"/>
      <c r="D179" s="4"/>
      <c r="E179" s="4"/>
      <c r="F179" s="4"/>
      <c r="G179" s="4"/>
    </row>
    <row r="180" spans="1:7" ht="15.75" customHeight="1" x14ac:dyDescent="0.3">
      <c r="A180" s="4"/>
      <c r="B180" s="4"/>
      <c r="C180" s="4"/>
      <c r="D180" s="4"/>
      <c r="E180" s="4"/>
      <c r="F180" s="4"/>
      <c r="G180" s="4"/>
    </row>
    <row r="181" spans="1:7" ht="15.75" customHeight="1" x14ac:dyDescent="0.3">
      <c r="A181" s="4"/>
      <c r="B181" s="4"/>
      <c r="C181" s="4"/>
      <c r="D181" s="4"/>
      <c r="E181" s="4"/>
      <c r="F181" s="4"/>
      <c r="G181" s="4"/>
    </row>
    <row r="182" spans="1:7" ht="15.75" customHeight="1" x14ac:dyDescent="0.3">
      <c r="A182" s="4"/>
      <c r="B182" s="4"/>
      <c r="C182" s="4"/>
      <c r="D182" s="4"/>
      <c r="E182" s="4"/>
      <c r="F182" s="4"/>
      <c r="G182" s="4"/>
    </row>
    <row r="183" spans="1:7" ht="15.75" customHeight="1" x14ac:dyDescent="0.3">
      <c r="A183" s="4"/>
      <c r="B183" s="4"/>
      <c r="C183" s="4"/>
      <c r="D183" s="4"/>
      <c r="E183" s="4"/>
      <c r="F183" s="4"/>
      <c r="G183" s="4"/>
    </row>
    <row r="184" spans="1:7" ht="15.75" customHeight="1" x14ac:dyDescent="0.3">
      <c r="A184" s="4"/>
      <c r="B184" s="4"/>
      <c r="C184" s="4"/>
      <c r="D184" s="4"/>
      <c r="E184" s="4"/>
      <c r="F184" s="4"/>
      <c r="G184" s="4"/>
    </row>
    <row r="185" spans="1:7" ht="15.75" customHeight="1" x14ac:dyDescent="0.3">
      <c r="A185" s="4"/>
      <c r="B185" s="4"/>
      <c r="C185" s="4"/>
      <c r="D185" s="4"/>
      <c r="E185" s="4"/>
      <c r="F185" s="4"/>
      <c r="G185" s="4"/>
    </row>
    <row r="186" spans="1:7" ht="15.75" customHeight="1" x14ac:dyDescent="0.3">
      <c r="A186" s="4"/>
      <c r="B186" s="4"/>
      <c r="C186" s="4"/>
      <c r="D186" s="4"/>
      <c r="E186" s="4"/>
      <c r="F186" s="4"/>
      <c r="G186" s="4"/>
    </row>
    <row r="187" spans="1:7" ht="15.75" customHeight="1" x14ac:dyDescent="0.3">
      <c r="A187" s="4"/>
      <c r="B187" s="4"/>
      <c r="C187" s="4"/>
      <c r="D187" s="4"/>
      <c r="E187" s="4"/>
      <c r="F187" s="4"/>
      <c r="G187" s="4"/>
    </row>
    <row r="188" spans="1:7" ht="15.75" customHeight="1" x14ac:dyDescent="0.3">
      <c r="A188" s="4"/>
      <c r="B188" s="4"/>
      <c r="C188" s="4"/>
      <c r="D188" s="4"/>
      <c r="E188" s="4"/>
      <c r="F188" s="4"/>
      <c r="G188" s="4"/>
    </row>
    <row r="189" spans="1:7" ht="15.75" customHeight="1" x14ac:dyDescent="0.3">
      <c r="A189" s="4"/>
      <c r="B189" s="4"/>
      <c r="C189" s="4"/>
      <c r="D189" s="4"/>
      <c r="E189" s="4"/>
      <c r="F189" s="4"/>
      <c r="G189" s="4"/>
    </row>
    <row r="190" spans="1:7" ht="15.75" customHeight="1" x14ac:dyDescent="0.3">
      <c r="A190" s="4"/>
      <c r="B190" s="4"/>
      <c r="C190" s="4"/>
      <c r="D190" s="4"/>
      <c r="E190" s="4"/>
      <c r="F190" s="4"/>
      <c r="G190" s="4"/>
    </row>
    <row r="191" spans="1:7" ht="15.75" customHeight="1" x14ac:dyDescent="0.3">
      <c r="A191" s="4"/>
      <c r="B191" s="4"/>
      <c r="C191" s="4"/>
      <c r="D191" s="4"/>
      <c r="E191" s="4"/>
      <c r="F191" s="4"/>
      <c r="G191" s="4"/>
    </row>
    <row r="192" spans="1:7" ht="15.75" customHeight="1" x14ac:dyDescent="0.3">
      <c r="A192" s="4"/>
      <c r="B192" s="4"/>
      <c r="C192" s="4"/>
      <c r="D192" s="4"/>
      <c r="E192" s="4"/>
      <c r="F192" s="4"/>
      <c r="G192" s="4"/>
    </row>
    <row r="193" spans="1:7" ht="15.75" customHeight="1" x14ac:dyDescent="0.3">
      <c r="A193" s="4"/>
      <c r="B193" s="4"/>
      <c r="C193" s="4"/>
      <c r="D193" s="4"/>
      <c r="E193" s="4"/>
      <c r="F193" s="4"/>
      <c r="G193" s="4"/>
    </row>
    <row r="194" spans="1:7" ht="15.75" customHeight="1" x14ac:dyDescent="0.3">
      <c r="A194" s="4"/>
      <c r="B194" s="4"/>
      <c r="C194" s="4"/>
      <c r="D194" s="4"/>
      <c r="E194" s="4"/>
      <c r="F194" s="4"/>
      <c r="G194" s="4"/>
    </row>
    <row r="195" spans="1:7" ht="15.75" customHeight="1" x14ac:dyDescent="0.3">
      <c r="A195" s="4"/>
      <c r="B195" s="4"/>
      <c r="C195" s="4"/>
      <c r="D195" s="4"/>
      <c r="E195" s="4"/>
      <c r="F195" s="4"/>
      <c r="G195" s="4"/>
    </row>
    <row r="196" spans="1:7" ht="15.75" customHeight="1" x14ac:dyDescent="0.3">
      <c r="A196" s="4"/>
      <c r="B196" s="4"/>
      <c r="C196" s="4"/>
      <c r="D196" s="4"/>
      <c r="E196" s="4"/>
      <c r="F196" s="4"/>
      <c r="G196" s="4"/>
    </row>
    <row r="197" spans="1:7" ht="15.75" customHeight="1" x14ac:dyDescent="0.3">
      <c r="A197" s="4"/>
      <c r="B197" s="4"/>
      <c r="C197" s="4"/>
      <c r="D197" s="4"/>
      <c r="E197" s="4"/>
      <c r="F197" s="4"/>
      <c r="G197" s="4"/>
    </row>
    <row r="198" spans="1:7" ht="15.75" customHeight="1" x14ac:dyDescent="0.3">
      <c r="A198" s="4"/>
      <c r="B198" s="4"/>
      <c r="C198" s="4"/>
      <c r="D198" s="4"/>
      <c r="E198" s="4"/>
      <c r="F198" s="4"/>
      <c r="G198" s="4"/>
    </row>
    <row r="199" spans="1:7" ht="15.75" customHeight="1" x14ac:dyDescent="0.3">
      <c r="A199" s="4"/>
      <c r="B199" s="4"/>
      <c r="C199" s="4"/>
      <c r="D199" s="4"/>
      <c r="E199" s="4"/>
      <c r="F199" s="4"/>
      <c r="G199" s="4"/>
    </row>
    <row r="200" spans="1:7" ht="15.75" customHeight="1" x14ac:dyDescent="0.3">
      <c r="A200" s="4"/>
      <c r="B200" s="4"/>
      <c r="C200" s="4"/>
      <c r="D200" s="4"/>
      <c r="E200" s="4"/>
      <c r="F200" s="4"/>
      <c r="G200" s="4"/>
    </row>
    <row r="201" spans="1:7" ht="15.75" customHeight="1" x14ac:dyDescent="0.3">
      <c r="A201" s="4"/>
      <c r="B201" s="4"/>
      <c r="C201" s="4"/>
      <c r="D201" s="4"/>
      <c r="E201" s="4"/>
      <c r="F201" s="4"/>
      <c r="G201" s="4"/>
    </row>
    <row r="202" spans="1:7" ht="15.75" customHeight="1" x14ac:dyDescent="0.3">
      <c r="A202" s="4"/>
      <c r="B202" s="4"/>
      <c r="C202" s="4"/>
      <c r="D202" s="4"/>
      <c r="E202" s="4"/>
      <c r="F202" s="4"/>
      <c r="G202" s="4"/>
    </row>
    <row r="203" spans="1:7" ht="15.75" customHeight="1" x14ac:dyDescent="0.3">
      <c r="A203" s="4"/>
      <c r="B203" s="4"/>
      <c r="C203" s="4"/>
      <c r="D203" s="4"/>
      <c r="E203" s="4"/>
      <c r="F203" s="4"/>
      <c r="G203" s="4"/>
    </row>
    <row r="204" spans="1:7" ht="15.75" customHeight="1" x14ac:dyDescent="0.3">
      <c r="A204" s="4"/>
      <c r="B204" s="4"/>
      <c r="C204" s="4"/>
      <c r="D204" s="4"/>
      <c r="E204" s="4"/>
      <c r="F204" s="4"/>
      <c r="G204" s="4"/>
    </row>
    <row r="205" spans="1:7" ht="15.75" customHeight="1" x14ac:dyDescent="0.3">
      <c r="A205" s="4"/>
      <c r="B205" s="4"/>
      <c r="C205" s="4"/>
      <c r="D205" s="4"/>
      <c r="E205" s="4"/>
      <c r="F205" s="4"/>
      <c r="G205" s="4"/>
    </row>
    <row r="206" spans="1:7" ht="15.75" customHeight="1" x14ac:dyDescent="0.3">
      <c r="A206" s="4"/>
      <c r="B206" s="4"/>
      <c r="C206" s="4"/>
      <c r="D206" s="4"/>
      <c r="E206" s="4"/>
      <c r="F206" s="4"/>
      <c r="G206" s="4"/>
    </row>
    <row r="207" spans="1:7" ht="15.75" customHeight="1" x14ac:dyDescent="0.3">
      <c r="A207" s="4"/>
      <c r="B207" s="4"/>
      <c r="C207" s="4"/>
      <c r="D207" s="4"/>
      <c r="E207" s="4"/>
      <c r="F207" s="4"/>
      <c r="G207" s="4"/>
    </row>
    <row r="208" spans="1:7" ht="15.75" customHeight="1" x14ac:dyDescent="0.3">
      <c r="A208" s="4"/>
      <c r="B208" s="4"/>
      <c r="C208" s="4"/>
      <c r="D208" s="4"/>
      <c r="E208" s="4"/>
      <c r="F208" s="4"/>
      <c r="G208" s="4"/>
    </row>
    <row r="209" spans="1:7" ht="15.75" customHeight="1" x14ac:dyDescent="0.3">
      <c r="A209" s="4"/>
      <c r="B209" s="4"/>
      <c r="C209" s="4"/>
      <c r="D209" s="4"/>
      <c r="E209" s="4"/>
      <c r="F209" s="4"/>
      <c r="G209" s="4"/>
    </row>
    <row r="210" spans="1:7" ht="15.75" customHeight="1" x14ac:dyDescent="0.3">
      <c r="A210" s="4"/>
      <c r="B210" s="4"/>
      <c r="C210" s="4"/>
      <c r="D210" s="4"/>
      <c r="E210" s="4"/>
      <c r="F210" s="4"/>
      <c r="G210" s="4"/>
    </row>
    <row r="211" spans="1:7" ht="15.75" customHeight="1" x14ac:dyDescent="0.3">
      <c r="A211" s="4"/>
      <c r="B211" s="4"/>
      <c r="C211" s="4"/>
      <c r="D211" s="4"/>
      <c r="E211" s="4"/>
      <c r="F211" s="4"/>
      <c r="G211" s="4"/>
    </row>
    <row r="212" spans="1:7" ht="15.75" customHeight="1" x14ac:dyDescent="0.3">
      <c r="A212" s="4"/>
      <c r="B212" s="4"/>
      <c r="C212" s="4"/>
      <c r="D212" s="4"/>
      <c r="E212" s="4"/>
      <c r="F212" s="4"/>
      <c r="G212" s="4"/>
    </row>
    <row r="213" spans="1:7" ht="15.75" customHeight="1" x14ac:dyDescent="0.3">
      <c r="A213" s="4"/>
      <c r="B213" s="4"/>
      <c r="C213" s="4"/>
      <c r="D213" s="4"/>
      <c r="E213" s="4"/>
      <c r="F213" s="4"/>
      <c r="G213" s="4"/>
    </row>
    <row r="214" spans="1:7" ht="15.75" customHeight="1" x14ac:dyDescent="0.3">
      <c r="A214" s="4"/>
      <c r="B214" s="4"/>
      <c r="C214" s="4"/>
      <c r="D214" s="4"/>
      <c r="E214" s="4"/>
      <c r="F214" s="4"/>
      <c r="G214" s="4"/>
    </row>
    <row r="215" spans="1:7" ht="15.75" customHeight="1" x14ac:dyDescent="0.3">
      <c r="A215" s="4"/>
      <c r="B215" s="4"/>
      <c r="C215" s="4"/>
      <c r="D215" s="4"/>
      <c r="E215" s="4"/>
      <c r="F215" s="4"/>
      <c r="G215" s="4"/>
    </row>
    <row r="216" spans="1:7" ht="15.75" customHeight="1" x14ac:dyDescent="0.3">
      <c r="A216" s="4"/>
      <c r="B216" s="4"/>
      <c r="C216" s="4"/>
      <c r="D216" s="4"/>
      <c r="E216" s="4"/>
      <c r="F216" s="4"/>
      <c r="G216" s="4"/>
    </row>
    <row r="217" spans="1:7" ht="15.75" customHeight="1" x14ac:dyDescent="0.3">
      <c r="A217" s="4"/>
      <c r="B217" s="4"/>
      <c r="C217" s="4"/>
      <c r="D217" s="4"/>
      <c r="E217" s="4"/>
      <c r="F217" s="4"/>
      <c r="G217" s="4"/>
    </row>
    <row r="218" spans="1:7" ht="15.75" customHeight="1" x14ac:dyDescent="0.3">
      <c r="A218" s="4"/>
      <c r="B218" s="4"/>
      <c r="C218" s="4"/>
      <c r="D218" s="4"/>
      <c r="E218" s="4"/>
      <c r="F218" s="4"/>
      <c r="G218" s="4"/>
    </row>
    <row r="219" spans="1:7" ht="15.75" customHeight="1" x14ac:dyDescent="0.3">
      <c r="A219" s="4"/>
      <c r="B219" s="4"/>
      <c r="C219" s="4"/>
      <c r="D219" s="4"/>
      <c r="E219" s="4"/>
      <c r="F219" s="4"/>
      <c r="G219" s="4"/>
    </row>
    <row r="220" spans="1:7" ht="15.75" customHeight="1" x14ac:dyDescent="0.3">
      <c r="A220" s="4"/>
      <c r="B220" s="4"/>
      <c r="C220" s="4"/>
      <c r="D220" s="4"/>
      <c r="E220" s="4"/>
      <c r="F220" s="4"/>
      <c r="G220" s="4"/>
    </row>
    <row r="221" spans="1:7" ht="15.75" customHeight="1" x14ac:dyDescent="0.3">
      <c r="A221" s="4"/>
      <c r="B221" s="4"/>
      <c r="C221" s="4"/>
      <c r="D221" s="4"/>
      <c r="E221" s="4"/>
      <c r="F221" s="4"/>
      <c r="G221" s="4"/>
    </row>
    <row r="222" spans="1:7" ht="15.75" customHeight="1" x14ac:dyDescent="0.3">
      <c r="A222" s="4"/>
      <c r="B222" s="4"/>
      <c r="C222" s="4"/>
      <c r="D222" s="4"/>
      <c r="E222" s="4"/>
      <c r="F222" s="4"/>
      <c r="G222" s="4"/>
    </row>
    <row r="223" spans="1:7" ht="15.75" customHeight="1" x14ac:dyDescent="0.3">
      <c r="A223" s="4"/>
      <c r="B223" s="4"/>
      <c r="C223" s="4"/>
      <c r="D223" s="4"/>
      <c r="E223" s="4"/>
      <c r="F223" s="4"/>
      <c r="G223" s="4"/>
    </row>
    <row r="224" spans="1:7" ht="15.75" customHeight="1" x14ac:dyDescent="0.3">
      <c r="A224" s="4"/>
      <c r="B224" s="4"/>
      <c r="C224" s="4"/>
      <c r="D224" s="4"/>
      <c r="E224" s="4"/>
      <c r="F224" s="4"/>
      <c r="G224" s="4"/>
    </row>
    <row r="225" spans="1:7" ht="15.75" customHeight="1" x14ac:dyDescent="0.3">
      <c r="A225" s="4"/>
      <c r="B225" s="4"/>
      <c r="C225" s="4"/>
      <c r="D225" s="4"/>
      <c r="E225" s="4"/>
      <c r="F225" s="4"/>
      <c r="G225" s="4"/>
    </row>
    <row r="226" spans="1:7" ht="15.75" customHeight="1" x14ac:dyDescent="0.3">
      <c r="A226" s="4"/>
      <c r="B226" s="4"/>
      <c r="C226" s="4"/>
      <c r="D226" s="4"/>
      <c r="E226" s="4"/>
      <c r="F226" s="4"/>
      <c r="G226" s="4"/>
    </row>
    <row r="227" spans="1:7" ht="15.75" customHeight="1" x14ac:dyDescent="0.3">
      <c r="A227" s="4"/>
      <c r="B227" s="4"/>
      <c r="C227" s="4"/>
      <c r="D227" s="4"/>
      <c r="E227" s="4"/>
      <c r="F227" s="4"/>
      <c r="G227" s="4"/>
    </row>
    <row r="228" spans="1:7" ht="15.75" customHeight="1" x14ac:dyDescent="0.3">
      <c r="A228" s="4"/>
      <c r="B228" s="4"/>
      <c r="C228" s="4"/>
      <c r="D228" s="4"/>
      <c r="E228" s="4"/>
      <c r="F228" s="4"/>
      <c r="G228" s="4"/>
    </row>
    <row r="229" spans="1:7" ht="15.75" customHeight="1" x14ac:dyDescent="0.3">
      <c r="A229" s="4"/>
      <c r="B229" s="4"/>
      <c r="C229" s="4"/>
      <c r="D229" s="4"/>
      <c r="E229" s="4"/>
      <c r="F229" s="4"/>
      <c r="G229" s="4"/>
    </row>
    <row r="230" spans="1:7" ht="15.75" customHeight="1" x14ac:dyDescent="0.3">
      <c r="A230" s="4"/>
      <c r="B230" s="4"/>
      <c r="C230" s="4"/>
      <c r="D230" s="4"/>
      <c r="E230" s="4"/>
      <c r="F230" s="4"/>
      <c r="G230" s="4"/>
    </row>
    <row r="231" spans="1:7" ht="15.75" customHeight="1" x14ac:dyDescent="0.3">
      <c r="A231" s="4"/>
      <c r="B231" s="4"/>
      <c r="C231" s="4"/>
      <c r="D231" s="4"/>
      <c r="E231" s="4"/>
      <c r="F231" s="4"/>
      <c r="G231" s="4"/>
    </row>
    <row r="232" spans="1:7" ht="15.75" customHeight="1" x14ac:dyDescent="0.3">
      <c r="A232" s="4"/>
      <c r="B232" s="4"/>
      <c r="C232" s="4"/>
      <c r="D232" s="4"/>
      <c r="E232" s="4"/>
      <c r="F232" s="4"/>
      <c r="G232" s="4"/>
    </row>
    <row r="233" spans="1:7" ht="15.75" customHeight="1" x14ac:dyDescent="0.3">
      <c r="A233" s="4"/>
      <c r="B233" s="4"/>
      <c r="C233" s="4"/>
      <c r="D233" s="4"/>
      <c r="E233" s="4"/>
      <c r="F233" s="4"/>
      <c r="G233" s="4"/>
    </row>
    <row r="234" spans="1:7" ht="15.75" customHeight="1" x14ac:dyDescent="0.3">
      <c r="A234" s="4"/>
      <c r="B234" s="4"/>
      <c r="C234" s="4"/>
      <c r="D234" s="4"/>
      <c r="E234" s="4"/>
      <c r="F234" s="4"/>
      <c r="G234" s="4"/>
    </row>
    <row r="235" spans="1:7" ht="15.75" customHeight="1" x14ac:dyDescent="0.3">
      <c r="A235" s="4"/>
      <c r="B235" s="4"/>
      <c r="C235" s="4"/>
      <c r="D235" s="4"/>
      <c r="E235" s="4"/>
      <c r="F235" s="4"/>
      <c r="G235" s="4"/>
    </row>
    <row r="236" spans="1:7" ht="15.75" customHeight="1" x14ac:dyDescent="0.3">
      <c r="A236" s="4"/>
      <c r="B236" s="4"/>
      <c r="C236" s="4"/>
      <c r="D236" s="4"/>
      <c r="E236" s="4"/>
      <c r="F236" s="4"/>
      <c r="G236" s="4"/>
    </row>
    <row r="237" spans="1:7" ht="15.75" customHeight="1" x14ac:dyDescent="0.3">
      <c r="A237" s="4"/>
      <c r="B237" s="4"/>
      <c r="C237" s="4"/>
      <c r="D237" s="4"/>
      <c r="E237" s="4"/>
      <c r="F237" s="4"/>
      <c r="G237" s="4"/>
    </row>
    <row r="238" spans="1:7" ht="15.75" customHeight="1" x14ac:dyDescent="0.3">
      <c r="A238" s="4"/>
      <c r="B238" s="4"/>
      <c r="C238" s="4"/>
      <c r="D238" s="4"/>
      <c r="E238" s="4"/>
      <c r="F238" s="4"/>
      <c r="G238" s="4"/>
    </row>
    <row r="239" spans="1:7" ht="15.75" customHeight="1" x14ac:dyDescent="0.3">
      <c r="A239" s="4"/>
      <c r="B239" s="4"/>
      <c r="C239" s="4"/>
      <c r="D239" s="4"/>
      <c r="E239" s="4"/>
      <c r="F239" s="4"/>
      <c r="G239" s="4"/>
    </row>
    <row r="240" spans="1:7" ht="15.75" customHeight="1" x14ac:dyDescent="0.3">
      <c r="A240" s="4"/>
      <c r="B240" s="4"/>
      <c r="C240" s="4"/>
      <c r="D240" s="4"/>
      <c r="E240" s="4"/>
      <c r="F240" s="4"/>
      <c r="G240" s="4"/>
    </row>
    <row r="241" spans="1:7" ht="15.75" customHeight="1" x14ac:dyDescent="0.3">
      <c r="A241" s="4"/>
      <c r="B241" s="4"/>
      <c r="C241" s="4"/>
      <c r="D241" s="4"/>
      <c r="E241" s="4"/>
      <c r="F241" s="4"/>
      <c r="G241" s="4"/>
    </row>
    <row r="242" spans="1:7" ht="15.75" customHeight="1" x14ac:dyDescent="0.3">
      <c r="A242" s="4"/>
      <c r="B242" s="4"/>
      <c r="C242" s="4"/>
      <c r="D242" s="4"/>
      <c r="E242" s="4"/>
      <c r="F242" s="4"/>
      <c r="G242" s="4"/>
    </row>
    <row r="243" spans="1:7" ht="15.75" customHeight="1" x14ac:dyDescent="0.3">
      <c r="A243" s="4"/>
      <c r="B243" s="4"/>
      <c r="C243" s="4"/>
      <c r="D243" s="4"/>
      <c r="E243" s="4"/>
      <c r="F243" s="4"/>
      <c r="G243" s="4"/>
    </row>
    <row r="244" spans="1:7" ht="15.75" customHeight="1" x14ac:dyDescent="0.3">
      <c r="A244" s="4"/>
      <c r="B244" s="4"/>
      <c r="C244" s="4"/>
      <c r="D244" s="4"/>
      <c r="E244" s="4"/>
      <c r="F244" s="4"/>
      <c r="G244" s="4"/>
    </row>
    <row r="245" spans="1:7" ht="15.75" customHeight="1" x14ac:dyDescent="0.3">
      <c r="A245" s="4"/>
      <c r="B245" s="4"/>
      <c r="C245" s="4"/>
      <c r="D245" s="4"/>
      <c r="E245" s="4"/>
      <c r="F245" s="4"/>
      <c r="G245" s="4"/>
    </row>
    <row r="246" spans="1:7" ht="15.75" customHeight="1" x14ac:dyDescent="0.3">
      <c r="A246" s="4"/>
      <c r="B246" s="4"/>
      <c r="C246" s="4"/>
      <c r="D246" s="4"/>
      <c r="E246" s="4"/>
      <c r="F246" s="4"/>
      <c r="G246" s="4"/>
    </row>
    <row r="247" spans="1:7" ht="15.75" customHeight="1" x14ac:dyDescent="0.3">
      <c r="A247" s="4"/>
      <c r="B247" s="4"/>
      <c r="C247" s="4"/>
      <c r="D247" s="4"/>
      <c r="E247" s="4"/>
      <c r="F247" s="4"/>
      <c r="G247" s="4"/>
    </row>
    <row r="248" spans="1:7" ht="15.75" customHeight="1" x14ac:dyDescent="0.3">
      <c r="A248" s="4"/>
      <c r="B248" s="4"/>
      <c r="C248" s="4"/>
      <c r="D248" s="4"/>
      <c r="E248" s="4"/>
      <c r="F248" s="4"/>
      <c r="G248" s="4"/>
    </row>
    <row r="249" spans="1:7" ht="15.75" customHeight="1" x14ac:dyDescent="0.3">
      <c r="A249" s="4"/>
      <c r="B249" s="4"/>
      <c r="C249" s="4"/>
      <c r="D249" s="4"/>
      <c r="E249" s="4"/>
      <c r="F249" s="4"/>
      <c r="G249" s="4"/>
    </row>
    <row r="250" spans="1:7" ht="15.75" customHeight="1" x14ac:dyDescent="0.3">
      <c r="A250" s="4"/>
      <c r="B250" s="4"/>
      <c r="C250" s="4"/>
      <c r="D250" s="4"/>
      <c r="E250" s="4"/>
      <c r="F250" s="4"/>
      <c r="G250" s="4"/>
    </row>
    <row r="251" spans="1:7" ht="15.75" customHeight="1" x14ac:dyDescent="0.3">
      <c r="A251" s="4"/>
      <c r="B251" s="4"/>
      <c r="C251" s="4"/>
      <c r="D251" s="4"/>
      <c r="E251" s="4"/>
      <c r="F251" s="4"/>
      <c r="G251" s="4"/>
    </row>
    <row r="252" spans="1:7" ht="15.75" customHeight="1" x14ac:dyDescent="0.3">
      <c r="A252" s="4"/>
      <c r="B252" s="4"/>
      <c r="C252" s="4"/>
      <c r="D252" s="4"/>
      <c r="E252" s="4"/>
      <c r="F252" s="4"/>
      <c r="G252" s="4"/>
    </row>
    <row r="253" spans="1:7" ht="15.75" customHeight="1" x14ac:dyDescent="0.3">
      <c r="A253" s="4"/>
      <c r="B253" s="4"/>
      <c r="C253" s="4"/>
      <c r="D253" s="4"/>
      <c r="E253" s="4"/>
      <c r="F253" s="4"/>
      <c r="G253" s="4"/>
    </row>
    <row r="254" spans="1:7" ht="15.75" customHeight="1" x14ac:dyDescent="0.3">
      <c r="A254" s="4"/>
      <c r="B254" s="4"/>
      <c r="C254" s="4"/>
      <c r="D254" s="4"/>
      <c r="E254" s="4"/>
      <c r="F254" s="4"/>
      <c r="G254" s="4"/>
    </row>
    <row r="255" spans="1:7" ht="15.75" customHeight="1" x14ac:dyDescent="0.3">
      <c r="A255" s="4"/>
      <c r="B255" s="4"/>
      <c r="C255" s="4"/>
      <c r="D255" s="4"/>
      <c r="E255" s="4"/>
      <c r="F255" s="4"/>
      <c r="G255" s="4"/>
    </row>
    <row r="256" spans="1:7" ht="15.75" customHeight="1" x14ac:dyDescent="0.3">
      <c r="A256" s="4"/>
      <c r="B256" s="4"/>
      <c r="C256" s="4"/>
      <c r="D256" s="4"/>
      <c r="E256" s="4"/>
      <c r="F256" s="4"/>
      <c r="G256" s="4"/>
    </row>
    <row r="257" spans="1:7" ht="15.75" customHeight="1" x14ac:dyDescent="0.3">
      <c r="A257" s="4"/>
      <c r="B257" s="4"/>
      <c r="C257" s="4"/>
      <c r="D257" s="4"/>
      <c r="E257" s="4"/>
      <c r="F257" s="4"/>
      <c r="G257" s="4"/>
    </row>
    <row r="258" spans="1:7" ht="15.75" customHeight="1" x14ac:dyDescent="0.3">
      <c r="A258" s="4"/>
      <c r="B258" s="4"/>
      <c r="C258" s="4"/>
      <c r="D258" s="4"/>
      <c r="E258" s="4"/>
      <c r="F258" s="4"/>
      <c r="G258" s="4"/>
    </row>
    <row r="259" spans="1:7" ht="15.75" customHeight="1" x14ac:dyDescent="0.3">
      <c r="A259" s="4"/>
      <c r="B259" s="4"/>
      <c r="C259" s="4"/>
      <c r="D259" s="4"/>
      <c r="E259" s="4"/>
      <c r="F259" s="4"/>
      <c r="G259" s="4"/>
    </row>
    <row r="260" spans="1:7" ht="15.75" customHeight="1" x14ac:dyDescent="0.3">
      <c r="A260" s="4"/>
      <c r="B260" s="4"/>
      <c r="C260" s="4"/>
      <c r="D260" s="4"/>
      <c r="E260" s="4"/>
      <c r="F260" s="4"/>
      <c r="G260" s="4"/>
    </row>
    <row r="261" spans="1:7" ht="15.75" customHeight="1" x14ac:dyDescent="0.3">
      <c r="A261" s="4"/>
      <c r="B261" s="4"/>
      <c r="C261" s="4"/>
      <c r="D261" s="4"/>
      <c r="E261" s="4"/>
      <c r="F261" s="4"/>
      <c r="G261" s="4"/>
    </row>
    <row r="262" spans="1:7" ht="15.75" customHeight="1" x14ac:dyDescent="0.3">
      <c r="A262" s="4"/>
      <c r="B262" s="4"/>
      <c r="C262" s="4"/>
      <c r="D262" s="4"/>
      <c r="E262" s="4"/>
      <c r="F262" s="4"/>
      <c r="G262" s="4"/>
    </row>
    <row r="263" spans="1:7" ht="15.75" customHeight="1" x14ac:dyDescent="0.3">
      <c r="A263" s="4"/>
      <c r="B263" s="4"/>
      <c r="C263" s="4"/>
      <c r="D263" s="4"/>
      <c r="E263" s="4"/>
      <c r="F263" s="4"/>
      <c r="G263" s="4"/>
    </row>
    <row r="264" spans="1:7" ht="15.75" customHeight="1" x14ac:dyDescent="0.3">
      <c r="A264" s="4"/>
      <c r="B264" s="4"/>
      <c r="C264" s="4"/>
      <c r="D264" s="4"/>
      <c r="E264" s="4"/>
      <c r="F264" s="4"/>
      <c r="G264" s="4"/>
    </row>
    <row r="265" spans="1:7" ht="15.75" customHeight="1" x14ac:dyDescent="0.3">
      <c r="A265" s="4"/>
      <c r="B265" s="4"/>
      <c r="C265" s="4"/>
      <c r="D265" s="4"/>
      <c r="E265" s="4"/>
      <c r="F265" s="4"/>
      <c r="G265" s="4"/>
    </row>
    <row r="266" spans="1:7" ht="15.75" customHeight="1" x14ac:dyDescent="0.3">
      <c r="A266" s="4"/>
      <c r="B266" s="4"/>
      <c r="C266" s="4"/>
      <c r="D266" s="4"/>
      <c r="E266" s="4"/>
      <c r="F266" s="4"/>
      <c r="G266" s="4"/>
    </row>
    <row r="267" spans="1:7" ht="15.75" customHeight="1" x14ac:dyDescent="0.3">
      <c r="A267" s="4"/>
      <c r="B267" s="4"/>
      <c r="C267" s="4"/>
      <c r="D267" s="4"/>
      <c r="E267" s="4"/>
      <c r="F267" s="4"/>
      <c r="G267" s="4"/>
    </row>
    <row r="268" spans="1:7" ht="15.75" customHeight="1" x14ac:dyDescent="0.3">
      <c r="A268" s="4"/>
      <c r="B268" s="4"/>
      <c r="C268" s="4"/>
      <c r="D268" s="4"/>
      <c r="E268" s="4"/>
      <c r="F268" s="4"/>
      <c r="G268" s="4"/>
    </row>
    <row r="269" spans="1:7" ht="15.75" customHeight="1" x14ac:dyDescent="0.3">
      <c r="A269" s="4"/>
      <c r="B269" s="4"/>
      <c r="C269" s="4"/>
      <c r="D269" s="4"/>
      <c r="E269" s="4"/>
      <c r="F269" s="4"/>
      <c r="G269" s="4"/>
    </row>
    <row r="270" spans="1:7" ht="15.75" customHeight="1" x14ac:dyDescent="0.3">
      <c r="A270" s="4"/>
      <c r="B270" s="4"/>
      <c r="C270" s="4"/>
      <c r="D270" s="4"/>
      <c r="E270" s="4"/>
      <c r="F270" s="4"/>
      <c r="G270" s="4"/>
    </row>
    <row r="271" spans="1:7" ht="15.75" customHeight="1" x14ac:dyDescent="0.3">
      <c r="A271" s="4"/>
      <c r="B271" s="4"/>
      <c r="C271" s="4"/>
      <c r="D271" s="4"/>
      <c r="E271" s="4"/>
      <c r="F271" s="4"/>
      <c r="G271" s="4"/>
    </row>
    <row r="272" spans="1:7" ht="15.75" customHeight="1" x14ac:dyDescent="0.3">
      <c r="A272" s="4"/>
      <c r="B272" s="4"/>
      <c r="C272" s="4"/>
      <c r="D272" s="4"/>
      <c r="E272" s="4"/>
      <c r="F272" s="4"/>
      <c r="G272" s="4"/>
    </row>
    <row r="273" spans="1:7" ht="15.75" customHeight="1" x14ac:dyDescent="0.3">
      <c r="A273" s="4"/>
      <c r="B273" s="4"/>
      <c r="C273" s="4"/>
      <c r="D273" s="4"/>
      <c r="E273" s="4"/>
      <c r="F273" s="4"/>
      <c r="G273" s="4"/>
    </row>
    <row r="274" spans="1:7" ht="15.75" customHeight="1" x14ac:dyDescent="0.3">
      <c r="A274" s="4"/>
      <c r="B274" s="4"/>
      <c r="C274" s="4"/>
      <c r="D274" s="4"/>
      <c r="E274" s="4"/>
      <c r="F274" s="4"/>
      <c r="G274" s="4"/>
    </row>
    <row r="275" spans="1:7" ht="15.75" customHeight="1" x14ac:dyDescent="0.3">
      <c r="A275" s="4"/>
      <c r="B275" s="4"/>
      <c r="C275" s="4"/>
      <c r="D275" s="4"/>
      <c r="E275" s="4"/>
      <c r="F275" s="4"/>
      <c r="G275" s="4"/>
    </row>
    <row r="276" spans="1:7" ht="15.75" customHeight="1" x14ac:dyDescent="0.3">
      <c r="A276" s="4"/>
      <c r="B276" s="4"/>
      <c r="C276" s="4"/>
      <c r="D276" s="4"/>
      <c r="E276" s="4"/>
      <c r="F276" s="4"/>
      <c r="G276" s="4"/>
    </row>
    <row r="277" spans="1:7" ht="15.75" customHeight="1" x14ac:dyDescent="0.3">
      <c r="A277" s="4"/>
      <c r="B277" s="4"/>
      <c r="C277" s="4"/>
      <c r="D277" s="4"/>
      <c r="E277" s="4"/>
      <c r="F277" s="4"/>
      <c r="G277" s="4"/>
    </row>
    <row r="278" spans="1:7" ht="15.75" customHeight="1" x14ac:dyDescent="0.3">
      <c r="A278" s="4"/>
      <c r="B278" s="4"/>
      <c r="C278" s="4"/>
      <c r="D278" s="4"/>
      <c r="E278" s="4"/>
      <c r="F278" s="4"/>
      <c r="G278" s="4"/>
    </row>
    <row r="279" spans="1:7" ht="15.75" customHeight="1" x14ac:dyDescent="0.3">
      <c r="A279" s="4"/>
      <c r="B279" s="4"/>
      <c r="C279" s="4"/>
      <c r="D279" s="4"/>
      <c r="E279" s="4"/>
      <c r="F279" s="4"/>
      <c r="G279" s="4"/>
    </row>
    <row r="280" spans="1:7" ht="15.75" customHeight="1" x14ac:dyDescent="0.3">
      <c r="A280" s="4"/>
      <c r="B280" s="4"/>
      <c r="C280" s="4"/>
      <c r="D280" s="4"/>
      <c r="E280" s="4"/>
      <c r="F280" s="4"/>
      <c r="G280" s="4"/>
    </row>
    <row r="281" spans="1:7" ht="15.75" customHeight="1" x14ac:dyDescent="0.3">
      <c r="A281" s="4"/>
      <c r="B281" s="4"/>
      <c r="C281" s="4"/>
      <c r="D281" s="4"/>
      <c r="E281" s="4"/>
      <c r="F281" s="4"/>
      <c r="G281" s="4"/>
    </row>
    <row r="282" spans="1:7" ht="15.75" customHeight="1" x14ac:dyDescent="0.3">
      <c r="A282" s="4"/>
      <c r="B282" s="4"/>
      <c r="C282" s="4"/>
      <c r="D282" s="4"/>
      <c r="E282" s="4"/>
      <c r="F282" s="4"/>
      <c r="G282" s="4"/>
    </row>
    <row r="283" spans="1:7" ht="15.75" customHeight="1" x14ac:dyDescent="0.3">
      <c r="A283" s="4"/>
      <c r="B283" s="4"/>
      <c r="C283" s="4"/>
      <c r="D283" s="4"/>
      <c r="E283" s="4"/>
      <c r="F283" s="4"/>
      <c r="G283" s="4"/>
    </row>
    <row r="284" spans="1:7" ht="15.75" customHeight="1" x14ac:dyDescent="0.3">
      <c r="A284" s="4"/>
      <c r="B284" s="4"/>
      <c r="C284" s="4"/>
      <c r="D284" s="4"/>
      <c r="E284" s="4"/>
      <c r="F284" s="4"/>
      <c r="G284" s="4"/>
    </row>
    <row r="285" spans="1:7" ht="15.75" customHeight="1" x14ac:dyDescent="0.3">
      <c r="A285" s="4"/>
      <c r="B285" s="4"/>
      <c r="C285" s="4"/>
      <c r="D285" s="4"/>
      <c r="E285" s="4"/>
      <c r="F285" s="4"/>
      <c r="G285" s="4"/>
    </row>
    <row r="286" spans="1:7" ht="15.75" customHeight="1" x14ac:dyDescent="0.3">
      <c r="A286" s="4"/>
      <c r="B286" s="4"/>
      <c r="C286" s="4"/>
      <c r="D286" s="4"/>
      <c r="E286" s="4"/>
      <c r="F286" s="4"/>
      <c r="G286" s="4"/>
    </row>
    <row r="287" spans="1:7" ht="15.75" customHeight="1" x14ac:dyDescent="0.3">
      <c r="A287" s="4"/>
      <c r="B287" s="4"/>
      <c r="C287" s="4"/>
      <c r="D287" s="4"/>
      <c r="E287" s="4"/>
      <c r="F287" s="4"/>
      <c r="G287" s="4"/>
    </row>
    <row r="288" spans="1:7" ht="15.75" customHeight="1" x14ac:dyDescent="0.3">
      <c r="A288" s="4"/>
      <c r="B288" s="4"/>
      <c r="C288" s="4"/>
      <c r="D288" s="4"/>
      <c r="E288" s="4"/>
      <c r="F288" s="4"/>
      <c r="G288" s="4"/>
    </row>
    <row r="289" spans="1:7" ht="15.75" customHeight="1" x14ac:dyDescent="0.3">
      <c r="A289" s="4"/>
      <c r="B289" s="4"/>
      <c r="C289" s="4"/>
      <c r="D289" s="4"/>
      <c r="E289" s="4"/>
      <c r="F289" s="4"/>
      <c r="G289" s="4"/>
    </row>
    <row r="290" spans="1:7" ht="15.75" customHeight="1" x14ac:dyDescent="0.3">
      <c r="A290" s="4"/>
      <c r="B290" s="4"/>
      <c r="C290" s="4"/>
      <c r="D290" s="4"/>
      <c r="E290" s="4"/>
      <c r="F290" s="4"/>
      <c r="G290" s="4"/>
    </row>
    <row r="291" spans="1:7" ht="15.75" customHeight="1" x14ac:dyDescent="0.3">
      <c r="A291" s="4"/>
      <c r="B291" s="4"/>
      <c r="C291" s="4"/>
      <c r="D291" s="4"/>
      <c r="E291" s="4"/>
      <c r="F291" s="4"/>
      <c r="G291" s="4"/>
    </row>
    <row r="292" spans="1:7" ht="15.75" customHeight="1" x14ac:dyDescent="0.3">
      <c r="A292" s="4"/>
      <c r="B292" s="4"/>
      <c r="C292" s="4"/>
      <c r="D292" s="4"/>
      <c r="E292" s="4"/>
      <c r="F292" s="4"/>
      <c r="G292" s="4"/>
    </row>
    <row r="293" spans="1:7" ht="15.75" customHeight="1" x14ac:dyDescent="0.3">
      <c r="A293" s="4"/>
      <c r="B293" s="4"/>
      <c r="C293" s="4"/>
      <c r="D293" s="4"/>
      <c r="E293" s="4"/>
      <c r="F293" s="4"/>
      <c r="G293" s="4"/>
    </row>
    <row r="294" spans="1:7" ht="15.75" customHeight="1" x14ac:dyDescent="0.3">
      <c r="A294" s="4"/>
      <c r="B294" s="4"/>
      <c r="C294" s="4"/>
      <c r="D294" s="4"/>
      <c r="E294" s="4"/>
      <c r="F294" s="4"/>
      <c r="G294" s="4"/>
    </row>
    <row r="295" spans="1:7" ht="15.75" customHeight="1" x14ac:dyDescent="0.3">
      <c r="A295" s="4"/>
      <c r="B295" s="4"/>
      <c r="C295" s="4"/>
      <c r="D295" s="4"/>
      <c r="E295" s="4"/>
      <c r="F295" s="4"/>
      <c r="G295" s="4"/>
    </row>
    <row r="296" spans="1:7" ht="15.75" customHeight="1" x14ac:dyDescent="0.3">
      <c r="A296" s="4"/>
      <c r="B296" s="4"/>
      <c r="C296" s="4"/>
      <c r="D296" s="4"/>
      <c r="E296" s="4"/>
      <c r="F296" s="4"/>
      <c r="G296" s="4"/>
    </row>
    <row r="297" spans="1:7" ht="15.75" customHeight="1" x14ac:dyDescent="0.3">
      <c r="A297" s="4"/>
      <c r="B297" s="4"/>
      <c r="C297" s="4"/>
      <c r="D297" s="4"/>
      <c r="E297" s="4"/>
      <c r="F297" s="4"/>
      <c r="G297" s="4"/>
    </row>
    <row r="298" spans="1:7" ht="15.75" customHeight="1" x14ac:dyDescent="0.3">
      <c r="A298" s="4"/>
      <c r="B298" s="4"/>
      <c r="C298" s="4"/>
      <c r="D298" s="4"/>
      <c r="E298" s="4"/>
      <c r="F298" s="4"/>
      <c r="G298" s="4"/>
    </row>
    <row r="299" spans="1:7" ht="15.75" customHeight="1" x14ac:dyDescent="0.3">
      <c r="A299" s="4"/>
      <c r="B299" s="4"/>
      <c r="C299" s="4"/>
      <c r="D299" s="4"/>
      <c r="E299" s="4"/>
      <c r="F299" s="4"/>
      <c r="G299" s="4"/>
    </row>
    <row r="300" spans="1:7" ht="15.75" customHeight="1" x14ac:dyDescent="0.3">
      <c r="A300" s="4"/>
      <c r="B300" s="4"/>
      <c r="C300" s="4"/>
      <c r="D300" s="4"/>
      <c r="E300" s="4"/>
      <c r="F300" s="4"/>
      <c r="G300" s="4"/>
    </row>
    <row r="301" spans="1:7" ht="15.75" customHeight="1" x14ac:dyDescent="0.3">
      <c r="A301" s="4"/>
      <c r="B301" s="4"/>
      <c r="C301" s="4"/>
      <c r="D301" s="4"/>
      <c r="E301" s="4"/>
      <c r="F301" s="4"/>
      <c r="G301" s="4"/>
    </row>
    <row r="302" spans="1:7" ht="15.75" customHeight="1" x14ac:dyDescent="0.3">
      <c r="A302" s="4"/>
      <c r="B302" s="4"/>
      <c r="C302" s="4"/>
      <c r="D302" s="4"/>
      <c r="E302" s="4"/>
      <c r="F302" s="4"/>
      <c r="G302" s="4"/>
    </row>
    <row r="303" spans="1:7" ht="15.75" customHeight="1" x14ac:dyDescent="0.3">
      <c r="A303" s="4"/>
      <c r="B303" s="4"/>
      <c r="C303" s="4"/>
      <c r="D303" s="4"/>
      <c r="E303" s="4"/>
      <c r="F303" s="4"/>
      <c r="G303" s="4"/>
    </row>
    <row r="304" spans="1:7" ht="15.75" customHeight="1" x14ac:dyDescent="0.3">
      <c r="A304" s="4"/>
      <c r="B304" s="4"/>
      <c r="C304" s="4"/>
      <c r="D304" s="4"/>
      <c r="E304" s="4"/>
      <c r="F304" s="4"/>
      <c r="G304" s="4"/>
    </row>
    <row r="305" spans="1:7" ht="15.75" customHeight="1" x14ac:dyDescent="0.3">
      <c r="A305" s="4"/>
      <c r="B305" s="4"/>
      <c r="C305" s="4"/>
      <c r="D305" s="4"/>
      <c r="E305" s="4"/>
      <c r="F305" s="4"/>
      <c r="G305" s="4"/>
    </row>
    <row r="306" spans="1:7" ht="15.75" customHeight="1" x14ac:dyDescent="0.3">
      <c r="A306" s="4"/>
      <c r="B306" s="4"/>
      <c r="C306" s="4"/>
      <c r="D306" s="4"/>
      <c r="E306" s="4"/>
      <c r="F306" s="4"/>
      <c r="G306" s="4"/>
    </row>
    <row r="307" spans="1:7" ht="15.75" customHeight="1" x14ac:dyDescent="0.3">
      <c r="A307" s="4"/>
      <c r="B307" s="4"/>
      <c r="C307" s="4"/>
      <c r="D307" s="4"/>
      <c r="E307" s="4"/>
      <c r="F307" s="4"/>
      <c r="G307" s="4"/>
    </row>
    <row r="308" spans="1:7" ht="15.75" customHeight="1" x14ac:dyDescent="0.3">
      <c r="A308" s="4"/>
      <c r="B308" s="4"/>
      <c r="C308" s="4"/>
      <c r="D308" s="4"/>
      <c r="E308" s="4"/>
      <c r="F308" s="4"/>
      <c r="G308" s="4"/>
    </row>
    <row r="309" spans="1:7" ht="15.75" customHeight="1" x14ac:dyDescent="0.3">
      <c r="A309" s="4"/>
      <c r="B309" s="4"/>
      <c r="C309" s="4"/>
      <c r="D309" s="4"/>
      <c r="E309" s="4"/>
      <c r="F309" s="4"/>
      <c r="G309" s="4"/>
    </row>
    <row r="310" spans="1:7" ht="15.75" customHeight="1" x14ac:dyDescent="0.3">
      <c r="A310" s="4"/>
      <c r="B310" s="4"/>
      <c r="C310" s="4"/>
      <c r="D310" s="4"/>
      <c r="E310" s="4"/>
      <c r="F310" s="4"/>
      <c r="G310" s="4"/>
    </row>
    <row r="311" spans="1:7" ht="15.75" customHeight="1" x14ac:dyDescent="0.3">
      <c r="A311" s="4"/>
      <c r="B311" s="4"/>
      <c r="C311" s="4"/>
      <c r="D311" s="4"/>
      <c r="E311" s="4"/>
      <c r="F311" s="4"/>
      <c r="G311" s="4"/>
    </row>
    <row r="312" spans="1:7" ht="15.75" customHeight="1" x14ac:dyDescent="0.3">
      <c r="A312" s="4"/>
      <c r="B312" s="4"/>
      <c r="C312" s="4"/>
      <c r="D312" s="4"/>
      <c r="E312" s="4"/>
      <c r="F312" s="4"/>
      <c r="G312" s="4"/>
    </row>
    <row r="313" spans="1:7" ht="15.75" customHeight="1" x14ac:dyDescent="0.3">
      <c r="A313" s="4"/>
      <c r="B313" s="4"/>
      <c r="C313" s="4"/>
      <c r="D313" s="4"/>
      <c r="E313" s="4"/>
      <c r="F313" s="4"/>
      <c r="G313" s="4"/>
    </row>
    <row r="314" spans="1:7" ht="15.75" customHeight="1" x14ac:dyDescent="0.3">
      <c r="A314" s="4"/>
      <c r="B314" s="4"/>
      <c r="C314" s="4"/>
      <c r="D314" s="4"/>
      <c r="E314" s="4"/>
      <c r="F314" s="4"/>
      <c r="G314" s="4"/>
    </row>
    <row r="315" spans="1:7" ht="15.75" customHeight="1" x14ac:dyDescent="0.3">
      <c r="A315" s="4"/>
      <c r="B315" s="4"/>
      <c r="C315" s="4"/>
      <c r="D315" s="4"/>
      <c r="E315" s="4"/>
      <c r="F315" s="4"/>
      <c r="G315" s="4"/>
    </row>
    <row r="316" spans="1:7" ht="15.75" customHeight="1" x14ac:dyDescent="0.3">
      <c r="A316" s="4"/>
      <c r="B316" s="4"/>
      <c r="C316" s="4"/>
      <c r="D316" s="4"/>
      <c r="E316" s="4"/>
      <c r="F316" s="4"/>
      <c r="G316" s="4"/>
    </row>
    <row r="317" spans="1:7" ht="15.75" customHeight="1" x14ac:dyDescent="0.3">
      <c r="A317" s="4"/>
      <c r="B317" s="4"/>
      <c r="C317" s="4"/>
      <c r="D317" s="4"/>
      <c r="E317" s="4"/>
      <c r="F317" s="4"/>
      <c r="G317" s="4"/>
    </row>
    <row r="318" spans="1:7" ht="15.75" customHeight="1" x14ac:dyDescent="0.3">
      <c r="A318" s="4"/>
      <c r="B318" s="4"/>
      <c r="C318" s="4"/>
      <c r="D318" s="4"/>
      <c r="E318" s="4"/>
      <c r="F318" s="4"/>
      <c r="G318" s="4"/>
    </row>
    <row r="319" spans="1:7" ht="15.75" customHeight="1" x14ac:dyDescent="0.3">
      <c r="A319" s="4"/>
      <c r="B319" s="4"/>
      <c r="C319" s="4"/>
      <c r="D319" s="4"/>
      <c r="E319" s="4"/>
      <c r="F319" s="4"/>
      <c r="G319" s="4"/>
    </row>
    <row r="320" spans="1:7" ht="15.75" customHeight="1" x14ac:dyDescent="0.3">
      <c r="A320" s="4"/>
      <c r="B320" s="4"/>
      <c r="C320" s="4"/>
      <c r="D320" s="4"/>
      <c r="E320" s="4"/>
      <c r="F320" s="4"/>
      <c r="G320" s="4"/>
    </row>
    <row r="321" spans="1:7" ht="15.75" customHeight="1" x14ac:dyDescent="0.3">
      <c r="A321" s="4"/>
      <c r="B321" s="4"/>
      <c r="C321" s="4"/>
      <c r="D321" s="4"/>
      <c r="E321" s="4"/>
      <c r="F321" s="4"/>
      <c r="G321" s="4"/>
    </row>
    <row r="322" spans="1:7" ht="15.75" customHeight="1" x14ac:dyDescent="0.3">
      <c r="A322" s="4"/>
      <c r="B322" s="4"/>
      <c r="C322" s="4"/>
      <c r="D322" s="4"/>
      <c r="E322" s="4"/>
      <c r="F322" s="4"/>
      <c r="G322" s="4"/>
    </row>
    <row r="323" spans="1:7" ht="15.75" customHeight="1" x14ac:dyDescent="0.3">
      <c r="A323" s="4"/>
      <c r="B323" s="4"/>
      <c r="C323" s="4"/>
      <c r="D323" s="4"/>
      <c r="E323" s="4"/>
      <c r="F323" s="4"/>
      <c r="G323" s="4"/>
    </row>
    <row r="324" spans="1:7" ht="15.75" customHeight="1" x14ac:dyDescent="0.3">
      <c r="A324" s="4"/>
      <c r="B324" s="4"/>
      <c r="C324" s="4"/>
      <c r="D324" s="4"/>
      <c r="E324" s="4"/>
      <c r="F324" s="4"/>
      <c r="G324" s="4"/>
    </row>
    <row r="325" spans="1:7" ht="15.75" customHeight="1" x14ac:dyDescent="0.3">
      <c r="A325" s="4"/>
      <c r="B325" s="4"/>
      <c r="C325" s="4"/>
      <c r="D325" s="4"/>
      <c r="E325" s="4"/>
      <c r="F325" s="4"/>
      <c r="G325" s="4"/>
    </row>
    <row r="326" spans="1:7" ht="15.75" customHeight="1" x14ac:dyDescent="0.3">
      <c r="A326" s="4"/>
      <c r="B326" s="4"/>
      <c r="C326" s="4"/>
      <c r="D326" s="4"/>
      <c r="E326" s="4"/>
      <c r="F326" s="4"/>
      <c r="G326" s="4"/>
    </row>
    <row r="327" spans="1:7" ht="15.75" customHeight="1" x14ac:dyDescent="0.3">
      <c r="A327" s="4"/>
      <c r="B327" s="4"/>
      <c r="C327" s="4"/>
      <c r="D327" s="4"/>
      <c r="E327" s="4"/>
      <c r="F327" s="4"/>
      <c r="G327" s="4"/>
    </row>
    <row r="328" spans="1:7" ht="15.75" customHeight="1" x14ac:dyDescent="0.3">
      <c r="A328" s="4"/>
      <c r="B328" s="4"/>
      <c r="C328" s="4"/>
      <c r="D328" s="4"/>
      <c r="E328" s="4"/>
      <c r="F328" s="4"/>
      <c r="G328" s="4"/>
    </row>
    <row r="329" spans="1:7" ht="15.75" customHeight="1" x14ac:dyDescent="0.3">
      <c r="A329" s="4"/>
      <c r="B329" s="4"/>
      <c r="C329" s="4"/>
      <c r="D329" s="4"/>
      <c r="E329" s="4"/>
      <c r="F329" s="4"/>
      <c r="G329" s="4"/>
    </row>
    <row r="330" spans="1:7" ht="15.75" customHeight="1" x14ac:dyDescent="0.3">
      <c r="A330" s="4"/>
      <c r="B330" s="4"/>
      <c r="C330" s="4"/>
      <c r="D330" s="4"/>
      <c r="E330" s="4"/>
      <c r="F330" s="4"/>
      <c r="G330" s="4"/>
    </row>
    <row r="331" spans="1:7" ht="15.75" customHeight="1" x14ac:dyDescent="0.3">
      <c r="A331" s="4"/>
      <c r="B331" s="4"/>
      <c r="C331" s="4"/>
      <c r="D331" s="4"/>
      <c r="E331" s="4"/>
      <c r="F331" s="4"/>
      <c r="G331" s="4"/>
    </row>
    <row r="332" spans="1:7" ht="15.75" customHeight="1" x14ac:dyDescent="0.3">
      <c r="A332" s="4"/>
      <c r="B332" s="4"/>
      <c r="C332" s="4"/>
      <c r="D332" s="4"/>
      <c r="E332" s="4"/>
      <c r="F332" s="4"/>
      <c r="G332" s="4"/>
    </row>
    <row r="333" spans="1:7" ht="15.75" customHeight="1" x14ac:dyDescent="0.3">
      <c r="A333" s="4"/>
      <c r="B333" s="4"/>
      <c r="C333" s="4"/>
      <c r="D333" s="4"/>
      <c r="E333" s="4"/>
      <c r="F333" s="4"/>
      <c r="G333" s="4"/>
    </row>
    <row r="334" spans="1:7" ht="15.75" customHeight="1" x14ac:dyDescent="0.3">
      <c r="A334" s="4"/>
      <c r="B334" s="4"/>
      <c r="C334" s="4"/>
      <c r="D334" s="4"/>
      <c r="E334" s="4"/>
      <c r="F334" s="4"/>
      <c r="G334" s="4"/>
    </row>
    <row r="335" spans="1:7" ht="15.75" customHeight="1" x14ac:dyDescent="0.3">
      <c r="A335" s="4"/>
      <c r="B335" s="4"/>
      <c r="C335" s="4"/>
      <c r="D335" s="4"/>
      <c r="E335" s="4"/>
      <c r="F335" s="4"/>
      <c r="G335" s="4"/>
    </row>
    <row r="336" spans="1:7" ht="15.75" customHeight="1" x14ac:dyDescent="0.3">
      <c r="A336" s="4"/>
      <c r="B336" s="4"/>
      <c r="C336" s="4"/>
      <c r="D336" s="4"/>
      <c r="E336" s="4"/>
      <c r="F336" s="4"/>
      <c r="G336" s="4"/>
    </row>
    <row r="337" spans="1:7" ht="15.75" customHeight="1" x14ac:dyDescent="0.3">
      <c r="A337" s="4"/>
      <c r="B337" s="4"/>
      <c r="C337" s="4"/>
      <c r="D337" s="4"/>
      <c r="E337" s="4"/>
      <c r="F337" s="4"/>
      <c r="G337" s="4"/>
    </row>
    <row r="338" spans="1:7" ht="15.75" customHeight="1" x14ac:dyDescent="0.3">
      <c r="A338" s="4"/>
      <c r="B338" s="4"/>
      <c r="C338" s="4"/>
      <c r="D338" s="4"/>
      <c r="E338" s="4"/>
      <c r="F338" s="4"/>
      <c r="G338" s="4"/>
    </row>
    <row r="339" spans="1:7" ht="15.75" customHeight="1" x14ac:dyDescent="0.3">
      <c r="A339" s="4"/>
      <c r="B339" s="4"/>
      <c r="C339" s="4"/>
      <c r="D339" s="4"/>
      <c r="E339" s="4"/>
      <c r="F339" s="4"/>
      <c r="G339" s="4"/>
    </row>
    <row r="340" spans="1:7" ht="15.75" customHeight="1" x14ac:dyDescent="0.3">
      <c r="A340" s="4"/>
      <c r="B340" s="4"/>
      <c r="C340" s="4"/>
      <c r="D340" s="4"/>
      <c r="E340" s="4"/>
      <c r="F340" s="4"/>
      <c r="G340" s="4"/>
    </row>
    <row r="341" spans="1:7" ht="15.75" customHeight="1" x14ac:dyDescent="0.3">
      <c r="A341" s="4"/>
      <c r="B341" s="4"/>
      <c r="C341" s="4"/>
      <c r="D341" s="4"/>
      <c r="E341" s="4"/>
      <c r="F341" s="4"/>
      <c r="G341" s="4"/>
    </row>
    <row r="342" spans="1:7" ht="15.75" customHeight="1" x14ac:dyDescent="0.3">
      <c r="A342" s="4"/>
      <c r="B342" s="4"/>
      <c r="C342" s="4"/>
      <c r="D342" s="4"/>
      <c r="E342" s="4"/>
      <c r="F342" s="4"/>
      <c r="G342" s="4"/>
    </row>
    <row r="343" spans="1:7" ht="15.75" customHeight="1" x14ac:dyDescent="0.3">
      <c r="A343" s="4"/>
      <c r="B343" s="4"/>
      <c r="C343" s="4"/>
      <c r="D343" s="4"/>
      <c r="E343" s="4"/>
      <c r="F343" s="4"/>
      <c r="G343" s="4"/>
    </row>
    <row r="344" spans="1:7" ht="15.75" customHeight="1" x14ac:dyDescent="0.3">
      <c r="A344" s="4"/>
      <c r="B344" s="4"/>
      <c r="C344" s="4"/>
      <c r="D344" s="4"/>
      <c r="E344" s="4"/>
      <c r="F344" s="4"/>
      <c r="G344" s="4"/>
    </row>
    <row r="345" spans="1:7" ht="15.75" customHeight="1" x14ac:dyDescent="0.3">
      <c r="A345" s="4"/>
      <c r="B345" s="4"/>
      <c r="C345" s="4"/>
      <c r="D345" s="4"/>
      <c r="E345" s="4"/>
      <c r="F345" s="4"/>
      <c r="G345" s="4"/>
    </row>
    <row r="346" spans="1:7" ht="15.75" customHeight="1" x14ac:dyDescent="0.3">
      <c r="A346" s="4"/>
      <c r="B346" s="4"/>
      <c r="C346" s="4"/>
      <c r="D346" s="4"/>
      <c r="E346" s="4"/>
      <c r="F346" s="4"/>
      <c r="G346" s="4"/>
    </row>
    <row r="347" spans="1:7" ht="15.75" customHeight="1" x14ac:dyDescent="0.3">
      <c r="A347" s="4"/>
      <c r="B347" s="4"/>
      <c r="C347" s="4"/>
      <c r="D347" s="4"/>
      <c r="E347" s="4"/>
      <c r="F347" s="4"/>
      <c r="G347" s="4"/>
    </row>
    <row r="348" spans="1:7" ht="15.75" customHeight="1" x14ac:dyDescent="0.3">
      <c r="A348" s="4"/>
      <c r="B348" s="4"/>
      <c r="C348" s="4"/>
      <c r="D348" s="4"/>
      <c r="E348" s="4"/>
      <c r="F348" s="4"/>
      <c r="G348" s="4"/>
    </row>
    <row r="349" spans="1:7" ht="15.75" customHeight="1" x14ac:dyDescent="0.3">
      <c r="A349" s="4"/>
      <c r="B349" s="4"/>
      <c r="C349" s="4"/>
      <c r="D349" s="4"/>
      <c r="E349" s="4"/>
      <c r="F349" s="4"/>
      <c r="G349" s="4"/>
    </row>
    <row r="350" spans="1:7" ht="15.75" customHeight="1" x14ac:dyDescent="0.3">
      <c r="A350" s="4"/>
      <c r="B350" s="4"/>
      <c r="C350" s="4"/>
      <c r="D350" s="4"/>
      <c r="E350" s="4"/>
      <c r="F350" s="4"/>
      <c r="G350" s="4"/>
    </row>
    <row r="351" spans="1:7" ht="15.75" customHeight="1" x14ac:dyDescent="0.3">
      <c r="A351" s="4"/>
      <c r="B351" s="4"/>
      <c r="C351" s="4"/>
      <c r="D351" s="4"/>
      <c r="E351" s="4"/>
      <c r="F351" s="4"/>
      <c r="G351" s="4"/>
    </row>
    <row r="352" spans="1:7" ht="15.75" customHeight="1" x14ac:dyDescent="0.3">
      <c r="A352" s="4"/>
      <c r="B352" s="4"/>
      <c r="C352" s="4"/>
      <c r="D352" s="4"/>
      <c r="E352" s="4"/>
      <c r="F352" s="4"/>
      <c r="G352" s="4"/>
    </row>
    <row r="353" spans="1:7" ht="15.75" customHeight="1" x14ac:dyDescent="0.3">
      <c r="A353" s="4"/>
      <c r="B353" s="4"/>
      <c r="C353" s="4"/>
      <c r="D353" s="4"/>
      <c r="E353" s="4"/>
      <c r="F353" s="4"/>
      <c r="G353" s="4"/>
    </row>
    <row r="354" spans="1:7" ht="15.75" customHeight="1" x14ac:dyDescent="0.3">
      <c r="A354" s="4"/>
      <c r="B354" s="4"/>
      <c r="C354" s="4"/>
      <c r="D354" s="4"/>
      <c r="E354" s="4"/>
      <c r="F354" s="4"/>
      <c r="G354" s="4"/>
    </row>
    <row r="355" spans="1:7" ht="15.75" customHeight="1" x14ac:dyDescent="0.3">
      <c r="A355" s="4"/>
      <c r="B355" s="4"/>
      <c r="C355" s="4"/>
      <c r="D355" s="4"/>
      <c r="E355" s="4"/>
      <c r="F355" s="4"/>
      <c r="G355" s="4"/>
    </row>
    <row r="356" spans="1:7" ht="15.75" customHeight="1" x14ac:dyDescent="0.3">
      <c r="A356" s="4"/>
      <c r="B356" s="4"/>
      <c r="C356" s="4"/>
      <c r="D356" s="4"/>
      <c r="E356" s="4"/>
      <c r="F356" s="4"/>
      <c r="G356" s="4"/>
    </row>
    <row r="357" spans="1:7" ht="15.75" customHeight="1" x14ac:dyDescent="0.3">
      <c r="A357" s="4"/>
      <c r="B357" s="4"/>
      <c r="C357" s="4"/>
      <c r="D357" s="4"/>
      <c r="E357" s="4"/>
      <c r="F357" s="4"/>
      <c r="G357" s="4"/>
    </row>
    <row r="358" spans="1:7" ht="15.75" customHeight="1" x14ac:dyDescent="0.3">
      <c r="A358" s="4"/>
      <c r="B358" s="4"/>
      <c r="C358" s="4"/>
      <c r="D358" s="4"/>
      <c r="E358" s="4"/>
      <c r="F358" s="4"/>
      <c r="G358" s="4"/>
    </row>
    <row r="359" spans="1:7" ht="15.75" customHeight="1" x14ac:dyDescent="0.3">
      <c r="A359" s="4"/>
      <c r="B359" s="4"/>
      <c r="C359" s="4"/>
      <c r="D359" s="4"/>
      <c r="E359" s="4"/>
      <c r="F359" s="4"/>
      <c r="G359" s="4"/>
    </row>
    <row r="360" spans="1:7" ht="15.75" customHeight="1" x14ac:dyDescent="0.3">
      <c r="A360" s="4"/>
      <c r="B360" s="4"/>
      <c r="C360" s="4"/>
      <c r="D360" s="4"/>
      <c r="E360" s="4"/>
      <c r="F360" s="4"/>
      <c r="G360" s="4"/>
    </row>
    <row r="361" spans="1:7" ht="15.75" customHeight="1" x14ac:dyDescent="0.3">
      <c r="A361" s="4"/>
      <c r="B361" s="4"/>
      <c r="C361" s="4"/>
      <c r="D361" s="4"/>
      <c r="E361" s="4"/>
      <c r="F361" s="4"/>
      <c r="G361" s="4"/>
    </row>
    <row r="362" spans="1:7" ht="15.75" customHeight="1" x14ac:dyDescent="0.3">
      <c r="A362" s="4"/>
      <c r="B362" s="4"/>
      <c r="C362" s="4"/>
      <c r="D362" s="4"/>
      <c r="E362" s="4"/>
      <c r="F362" s="4"/>
      <c r="G362" s="4"/>
    </row>
    <row r="363" spans="1:7" ht="15.75" customHeight="1" x14ac:dyDescent="0.3">
      <c r="A363" s="4"/>
      <c r="B363" s="4"/>
      <c r="C363" s="4"/>
      <c r="D363" s="4"/>
      <c r="E363" s="4"/>
      <c r="F363" s="4"/>
      <c r="G363" s="4"/>
    </row>
    <row r="364" spans="1:7" ht="15.75" customHeight="1" x14ac:dyDescent="0.3">
      <c r="A364" s="4"/>
      <c r="B364" s="4"/>
      <c r="C364" s="4"/>
      <c r="D364" s="4"/>
      <c r="E364" s="4"/>
      <c r="F364" s="4"/>
      <c r="G364" s="4"/>
    </row>
    <row r="365" spans="1:7" ht="15.75" customHeight="1" x14ac:dyDescent="0.3">
      <c r="A365" s="4"/>
      <c r="B365" s="4"/>
      <c r="C365" s="4"/>
      <c r="D365" s="4"/>
      <c r="E365" s="4"/>
      <c r="F365" s="4"/>
      <c r="G365" s="4"/>
    </row>
    <row r="366" spans="1:7" ht="15.75" customHeight="1" x14ac:dyDescent="0.3">
      <c r="A366" s="4"/>
      <c r="B366" s="4"/>
      <c r="C366" s="4"/>
      <c r="D366" s="4"/>
      <c r="E366" s="4"/>
      <c r="F366" s="4"/>
      <c r="G366" s="4"/>
    </row>
    <row r="367" spans="1:7" ht="15.75" customHeight="1" x14ac:dyDescent="0.3">
      <c r="A367" s="4"/>
      <c r="B367" s="4"/>
      <c r="C367" s="4"/>
      <c r="D367" s="4"/>
      <c r="E367" s="4"/>
      <c r="F367" s="4"/>
      <c r="G367" s="4"/>
    </row>
    <row r="368" spans="1:7" ht="15.75" customHeight="1" x14ac:dyDescent="0.3">
      <c r="A368" s="4"/>
      <c r="B368" s="4"/>
      <c r="C368" s="4"/>
      <c r="D368" s="4"/>
      <c r="E368" s="4"/>
      <c r="F368" s="4"/>
      <c r="G368" s="4"/>
    </row>
    <row r="369" spans="1:7" ht="15.75" customHeight="1" x14ac:dyDescent="0.3">
      <c r="A369" s="4"/>
      <c r="B369" s="4"/>
      <c r="C369" s="4"/>
      <c r="D369" s="4"/>
      <c r="E369" s="4"/>
      <c r="F369" s="4"/>
      <c r="G369" s="4"/>
    </row>
    <row r="370" spans="1:7" ht="15.75" customHeight="1" x14ac:dyDescent="0.3">
      <c r="A370" s="4"/>
      <c r="B370" s="4"/>
      <c r="C370" s="4"/>
      <c r="D370" s="4"/>
      <c r="E370" s="4"/>
      <c r="F370" s="4"/>
      <c r="G370" s="4"/>
    </row>
    <row r="371" spans="1:7" ht="15.75" customHeight="1" x14ac:dyDescent="0.3">
      <c r="A371" s="4"/>
      <c r="B371" s="4"/>
      <c r="C371" s="4"/>
      <c r="D371" s="4"/>
      <c r="E371" s="4"/>
      <c r="F371" s="4"/>
      <c r="G371" s="4"/>
    </row>
    <row r="372" spans="1:7" ht="15.75" customHeight="1" x14ac:dyDescent="0.3">
      <c r="A372" s="4"/>
      <c r="B372" s="4"/>
      <c r="C372" s="4"/>
      <c r="D372" s="4"/>
      <c r="E372" s="4"/>
      <c r="F372" s="4"/>
      <c r="G372" s="4"/>
    </row>
    <row r="373" spans="1:7" ht="15.75" customHeight="1" x14ac:dyDescent="0.3">
      <c r="A373" s="4"/>
      <c r="B373" s="4"/>
      <c r="C373" s="4"/>
      <c r="D373" s="4"/>
      <c r="E373" s="4"/>
      <c r="F373" s="4"/>
      <c r="G373" s="4"/>
    </row>
    <row r="374" spans="1:7" ht="15.75" customHeight="1" x14ac:dyDescent="0.3">
      <c r="A374" s="4"/>
      <c r="B374" s="4"/>
      <c r="C374" s="4"/>
      <c r="D374" s="4"/>
      <c r="E374" s="4"/>
      <c r="F374" s="4"/>
      <c r="G374" s="4"/>
    </row>
    <row r="375" spans="1:7" ht="15.75" customHeight="1" x14ac:dyDescent="0.3">
      <c r="A375" s="4"/>
      <c r="B375" s="4"/>
      <c r="C375" s="4"/>
      <c r="D375" s="4"/>
      <c r="E375" s="4"/>
      <c r="F375" s="4"/>
      <c r="G375" s="4"/>
    </row>
    <row r="376" spans="1:7" ht="15.75" customHeight="1" x14ac:dyDescent="0.3">
      <c r="A376" s="4"/>
      <c r="B376" s="4"/>
      <c r="C376" s="4"/>
      <c r="D376" s="4"/>
      <c r="E376" s="4"/>
      <c r="F376" s="4"/>
      <c r="G376" s="4"/>
    </row>
    <row r="377" spans="1:7" ht="15.75" customHeight="1" x14ac:dyDescent="0.3">
      <c r="A377" s="4"/>
      <c r="B377" s="4"/>
      <c r="C377" s="4"/>
      <c r="D377" s="4"/>
      <c r="E377" s="4"/>
      <c r="F377" s="4"/>
      <c r="G377" s="4"/>
    </row>
    <row r="378" spans="1:7" ht="15.75" customHeight="1" x14ac:dyDescent="0.3">
      <c r="A378" s="4"/>
      <c r="B378" s="4"/>
      <c r="C378" s="4"/>
      <c r="D378" s="4"/>
      <c r="E378" s="4"/>
      <c r="F378" s="4"/>
      <c r="G378" s="4"/>
    </row>
    <row r="379" spans="1:7" ht="15.75" customHeight="1" x14ac:dyDescent="0.3">
      <c r="A379" s="4"/>
      <c r="B379" s="4"/>
      <c r="C379" s="4"/>
      <c r="D379" s="4"/>
      <c r="E379" s="4"/>
      <c r="F379" s="4"/>
      <c r="G379" s="4"/>
    </row>
    <row r="380" spans="1:7" ht="15.75" customHeight="1" x14ac:dyDescent="0.3">
      <c r="A380" s="4"/>
      <c r="B380" s="4"/>
      <c r="C380" s="4"/>
      <c r="D380" s="4"/>
      <c r="E380" s="4"/>
      <c r="F380" s="4"/>
      <c r="G380" s="4"/>
    </row>
    <row r="381" spans="1:7" ht="15.75" customHeight="1" x14ac:dyDescent="0.3">
      <c r="A381" s="4"/>
      <c r="B381" s="4"/>
      <c r="C381" s="4"/>
      <c r="D381" s="4"/>
      <c r="E381" s="4"/>
      <c r="F381" s="4"/>
      <c r="G381" s="4"/>
    </row>
    <row r="382" spans="1:7" ht="15.75" customHeight="1" x14ac:dyDescent="0.3">
      <c r="A382" s="4"/>
      <c r="B382" s="4"/>
      <c r="C382" s="4"/>
      <c r="D382" s="4"/>
      <c r="E382" s="4"/>
      <c r="F382" s="4"/>
      <c r="G382" s="4"/>
    </row>
    <row r="383" spans="1:7" ht="15.75" customHeight="1" x14ac:dyDescent="0.3">
      <c r="A383" s="4"/>
      <c r="B383" s="4"/>
      <c r="C383" s="4"/>
      <c r="D383" s="4"/>
      <c r="E383" s="4"/>
      <c r="F383" s="4"/>
      <c r="G383" s="4"/>
    </row>
    <row r="384" spans="1:7" ht="15.75" customHeight="1" x14ac:dyDescent="0.3">
      <c r="A384" s="4"/>
      <c r="B384" s="4"/>
      <c r="C384" s="4"/>
      <c r="D384" s="4"/>
      <c r="E384" s="4"/>
      <c r="F384" s="4"/>
      <c r="G384" s="4"/>
    </row>
    <row r="385" spans="1:7" ht="15.75" customHeight="1" x14ac:dyDescent="0.3">
      <c r="A385" s="4"/>
      <c r="B385" s="4"/>
      <c r="C385" s="4"/>
      <c r="D385" s="4"/>
      <c r="E385" s="4"/>
      <c r="F385" s="4"/>
      <c r="G385" s="4"/>
    </row>
    <row r="386" spans="1:7" ht="15.75" customHeight="1" x14ac:dyDescent="0.3">
      <c r="A386" s="4"/>
      <c r="B386" s="4"/>
      <c r="C386" s="4"/>
      <c r="D386" s="4"/>
      <c r="E386" s="4"/>
      <c r="F386" s="4"/>
      <c r="G386" s="4"/>
    </row>
    <row r="387" spans="1:7" ht="15.75" customHeight="1" x14ac:dyDescent="0.3">
      <c r="A387" s="4"/>
      <c r="B387" s="4"/>
      <c r="C387" s="4"/>
      <c r="D387" s="4"/>
      <c r="E387" s="4"/>
      <c r="F387" s="4"/>
      <c r="G387" s="4"/>
    </row>
    <row r="388" spans="1:7" ht="15.75" customHeight="1" x14ac:dyDescent="0.3">
      <c r="A388" s="4"/>
      <c r="B388" s="4"/>
      <c r="C388" s="4"/>
      <c r="D388" s="4"/>
      <c r="E388" s="4"/>
      <c r="F388" s="4"/>
      <c r="G388" s="4"/>
    </row>
    <row r="389" spans="1:7" ht="15.75" customHeight="1" x14ac:dyDescent="0.3">
      <c r="A389" s="4"/>
      <c r="B389" s="4"/>
      <c r="C389" s="4"/>
      <c r="D389" s="4"/>
      <c r="E389" s="4"/>
      <c r="F389" s="4"/>
      <c r="G389" s="4"/>
    </row>
    <row r="390" spans="1:7" ht="15.75" customHeight="1" x14ac:dyDescent="0.3">
      <c r="A390" s="4"/>
      <c r="B390" s="4"/>
      <c r="C390" s="4"/>
      <c r="D390" s="4"/>
      <c r="E390" s="4"/>
      <c r="F390" s="4"/>
      <c r="G390" s="4"/>
    </row>
    <row r="391" spans="1:7" ht="15.75" customHeight="1" x14ac:dyDescent="0.3">
      <c r="A391" s="4"/>
      <c r="B391" s="4"/>
      <c r="C391" s="4"/>
      <c r="D391" s="4"/>
      <c r="E391" s="4"/>
      <c r="F391" s="4"/>
      <c r="G391" s="4"/>
    </row>
    <row r="392" spans="1:7" ht="15.75" customHeight="1" x14ac:dyDescent="0.3">
      <c r="A392" s="4"/>
      <c r="B392" s="4"/>
      <c r="C392" s="4"/>
      <c r="D392" s="4"/>
      <c r="E392" s="4"/>
      <c r="F392" s="4"/>
      <c r="G392" s="4"/>
    </row>
    <row r="393" spans="1:7" ht="15.75" customHeight="1" x14ac:dyDescent="0.3">
      <c r="A393" s="4"/>
      <c r="B393" s="4"/>
      <c r="C393" s="4"/>
      <c r="D393" s="4"/>
      <c r="E393" s="4"/>
      <c r="F393" s="4"/>
      <c r="G393" s="4"/>
    </row>
    <row r="394" spans="1:7" ht="15.75" customHeight="1" x14ac:dyDescent="0.3">
      <c r="A394" s="4"/>
      <c r="B394" s="4"/>
      <c r="C394" s="4"/>
      <c r="D394" s="4"/>
      <c r="E394" s="4"/>
      <c r="F394" s="4"/>
      <c r="G394" s="4"/>
    </row>
    <row r="395" spans="1:7" ht="15.75" customHeight="1" x14ac:dyDescent="0.3">
      <c r="A395" s="4"/>
      <c r="B395" s="4"/>
      <c r="C395" s="4"/>
      <c r="D395" s="4"/>
      <c r="E395" s="4"/>
      <c r="F395" s="4"/>
      <c r="G395" s="4"/>
    </row>
    <row r="396" spans="1:7" ht="15.75" customHeight="1" x14ac:dyDescent="0.3">
      <c r="A396" s="4"/>
      <c r="B396" s="4"/>
      <c r="C396" s="4"/>
      <c r="D396" s="4"/>
      <c r="E396" s="4"/>
      <c r="F396" s="4"/>
      <c r="G396" s="4"/>
    </row>
    <row r="397" spans="1:7" ht="15.75" customHeight="1" x14ac:dyDescent="0.3">
      <c r="A397" s="4"/>
      <c r="B397" s="4"/>
      <c r="C397" s="4"/>
      <c r="D397" s="4"/>
      <c r="E397" s="4"/>
      <c r="F397" s="4"/>
      <c r="G397" s="4"/>
    </row>
    <row r="398" spans="1:7" ht="15.75" customHeight="1" x14ac:dyDescent="0.3">
      <c r="A398" s="4"/>
      <c r="B398" s="4"/>
      <c r="C398" s="4"/>
      <c r="D398" s="4"/>
      <c r="E398" s="4"/>
      <c r="F398" s="4"/>
      <c r="G398" s="4"/>
    </row>
    <row r="399" spans="1:7" ht="15.75" customHeight="1" x14ac:dyDescent="0.3">
      <c r="A399" s="4"/>
      <c r="B399" s="4"/>
      <c r="C399" s="4"/>
      <c r="D399" s="4"/>
      <c r="E399" s="4"/>
      <c r="F399" s="4"/>
      <c r="G399" s="4"/>
    </row>
    <row r="400" spans="1:7" ht="15.75" customHeight="1" x14ac:dyDescent="0.3">
      <c r="A400" s="4"/>
      <c r="B400" s="4"/>
      <c r="C400" s="4"/>
      <c r="D400" s="4"/>
      <c r="E400" s="4"/>
      <c r="F400" s="4"/>
      <c r="G400" s="4"/>
    </row>
    <row r="401" spans="1:7" ht="15.75" customHeight="1" x14ac:dyDescent="0.3">
      <c r="A401" s="4"/>
      <c r="B401" s="4"/>
      <c r="C401" s="4"/>
      <c r="D401" s="4"/>
      <c r="E401" s="4"/>
      <c r="F401" s="4"/>
      <c r="G401" s="4"/>
    </row>
    <row r="402" spans="1:7" ht="15.75" customHeight="1" x14ac:dyDescent="0.3">
      <c r="A402" s="4"/>
      <c r="B402" s="4"/>
      <c r="C402" s="4"/>
      <c r="D402" s="4"/>
      <c r="E402" s="4"/>
      <c r="F402" s="4"/>
      <c r="G402" s="4"/>
    </row>
    <row r="403" spans="1:7" ht="15.75" customHeight="1" x14ac:dyDescent="0.3">
      <c r="A403" s="4"/>
      <c r="B403" s="4"/>
      <c r="C403" s="4"/>
      <c r="D403" s="4"/>
      <c r="E403" s="4"/>
      <c r="F403" s="4"/>
      <c r="G403" s="4"/>
    </row>
    <row r="404" spans="1:7" ht="15.75" customHeight="1" x14ac:dyDescent="0.3">
      <c r="A404" s="4"/>
      <c r="B404" s="4"/>
      <c r="C404" s="4"/>
      <c r="D404" s="4"/>
      <c r="E404" s="4"/>
      <c r="F404" s="4"/>
      <c r="G404" s="4"/>
    </row>
    <row r="405" spans="1:7" ht="15.75" customHeight="1" x14ac:dyDescent="0.3">
      <c r="A405" s="4"/>
      <c r="B405" s="4"/>
      <c r="C405" s="4"/>
      <c r="D405" s="4"/>
      <c r="E405" s="4"/>
      <c r="F405" s="4"/>
      <c r="G405" s="4"/>
    </row>
    <row r="406" spans="1:7" ht="15.75" customHeight="1" x14ac:dyDescent="0.3">
      <c r="A406" s="4"/>
      <c r="B406" s="4"/>
      <c r="C406" s="4"/>
      <c r="D406" s="4"/>
      <c r="E406" s="4"/>
      <c r="F406" s="4"/>
      <c r="G406" s="4"/>
    </row>
    <row r="407" spans="1:7" ht="15.75" customHeight="1" x14ac:dyDescent="0.3">
      <c r="A407" s="4"/>
      <c r="B407" s="4"/>
      <c r="C407" s="4"/>
      <c r="D407" s="4"/>
      <c r="E407" s="4"/>
      <c r="F407" s="4"/>
      <c r="G407" s="4"/>
    </row>
    <row r="408" spans="1:7" ht="15.75" customHeight="1" x14ac:dyDescent="0.3">
      <c r="A408" s="4"/>
      <c r="B408" s="4"/>
      <c r="C408" s="4"/>
      <c r="D408" s="4"/>
      <c r="E408" s="4"/>
      <c r="F408" s="4"/>
      <c r="G408" s="4"/>
    </row>
    <row r="409" spans="1:7" ht="15.75" customHeight="1" x14ac:dyDescent="0.3">
      <c r="A409" s="4"/>
      <c r="B409" s="4"/>
      <c r="C409" s="4"/>
      <c r="D409" s="4"/>
      <c r="E409" s="4"/>
      <c r="F409" s="4"/>
      <c r="G409" s="4"/>
    </row>
    <row r="410" spans="1:7" ht="15.75" customHeight="1" x14ac:dyDescent="0.3">
      <c r="A410" s="4"/>
      <c r="B410" s="4"/>
      <c r="C410" s="4"/>
      <c r="D410" s="4"/>
      <c r="E410" s="4"/>
      <c r="F410" s="4"/>
      <c r="G410" s="4"/>
    </row>
    <row r="411" spans="1:7" ht="15.75" customHeight="1" x14ac:dyDescent="0.3">
      <c r="A411" s="4"/>
      <c r="B411" s="4"/>
      <c r="C411" s="4"/>
      <c r="D411" s="4"/>
      <c r="E411" s="4"/>
      <c r="F411" s="4"/>
      <c r="G411" s="4"/>
    </row>
    <row r="412" spans="1:7" ht="15.75" customHeight="1" x14ac:dyDescent="0.3">
      <c r="A412" s="4"/>
      <c r="B412" s="4"/>
      <c r="C412" s="4"/>
      <c r="D412" s="4"/>
      <c r="E412" s="4"/>
      <c r="F412" s="4"/>
      <c r="G412" s="4"/>
    </row>
    <row r="413" spans="1:7" ht="15.75" customHeight="1" x14ac:dyDescent="0.3">
      <c r="A413" s="4"/>
      <c r="B413" s="4"/>
      <c r="C413" s="4"/>
      <c r="D413" s="4"/>
      <c r="E413" s="4"/>
      <c r="F413" s="4"/>
      <c r="G413" s="4"/>
    </row>
    <row r="414" spans="1:7" ht="15.75" customHeight="1" x14ac:dyDescent="0.3">
      <c r="A414" s="4"/>
      <c r="B414" s="4"/>
      <c r="C414" s="4"/>
      <c r="D414" s="4"/>
      <c r="E414" s="4"/>
      <c r="F414" s="4"/>
      <c r="G414" s="4"/>
    </row>
    <row r="415" spans="1:7" ht="15.75" customHeight="1" x14ac:dyDescent="0.3">
      <c r="A415" s="4"/>
      <c r="B415" s="4"/>
      <c r="C415" s="4"/>
      <c r="D415" s="4"/>
      <c r="E415" s="4"/>
      <c r="F415" s="4"/>
      <c r="G415" s="4"/>
    </row>
    <row r="416" spans="1:7" ht="15.75" customHeight="1" x14ac:dyDescent="0.3">
      <c r="A416" s="4"/>
      <c r="B416" s="4"/>
      <c r="C416" s="4"/>
      <c r="D416" s="4"/>
      <c r="E416" s="4"/>
      <c r="F416" s="4"/>
      <c r="G416" s="4"/>
    </row>
    <row r="417" spans="1:7" ht="15.75" customHeight="1" x14ac:dyDescent="0.3">
      <c r="A417" s="4"/>
      <c r="B417" s="4"/>
      <c r="C417" s="4"/>
      <c r="D417" s="4"/>
      <c r="E417" s="4"/>
      <c r="F417" s="4"/>
      <c r="G417" s="4"/>
    </row>
    <row r="418" spans="1:7" ht="15.75" customHeight="1" x14ac:dyDescent="0.3">
      <c r="A418" s="4"/>
      <c r="B418" s="4"/>
      <c r="C418" s="4"/>
      <c r="D418" s="4"/>
      <c r="E418" s="4"/>
      <c r="F418" s="4"/>
      <c r="G418" s="4"/>
    </row>
    <row r="419" spans="1:7" ht="15.75" customHeight="1" x14ac:dyDescent="0.3">
      <c r="A419" s="4"/>
      <c r="B419" s="4"/>
      <c r="C419" s="4"/>
      <c r="D419" s="4"/>
      <c r="E419" s="4"/>
      <c r="F419" s="4"/>
      <c r="G419" s="4"/>
    </row>
    <row r="420" spans="1:7" ht="15.75" customHeight="1" x14ac:dyDescent="0.3">
      <c r="A420" s="4"/>
      <c r="B420" s="4"/>
      <c r="C420" s="4"/>
      <c r="D420" s="4"/>
      <c r="E420" s="4"/>
      <c r="F420" s="4"/>
      <c r="G420" s="4"/>
    </row>
    <row r="421" spans="1:7" ht="15.75" customHeight="1" x14ac:dyDescent="0.3">
      <c r="A421" s="4"/>
      <c r="B421" s="4"/>
      <c r="C421" s="4"/>
      <c r="D421" s="4"/>
      <c r="E421" s="4"/>
      <c r="F421" s="4"/>
      <c r="G421" s="4"/>
    </row>
    <row r="422" spans="1:7" ht="15.75" customHeight="1" x14ac:dyDescent="0.3">
      <c r="A422" s="4"/>
      <c r="B422" s="4"/>
      <c r="C422" s="4"/>
      <c r="D422" s="4"/>
      <c r="E422" s="4"/>
      <c r="F422" s="4"/>
      <c r="G422" s="4"/>
    </row>
    <row r="423" spans="1:7" ht="15.75" customHeight="1" x14ac:dyDescent="0.3">
      <c r="A423" s="4"/>
      <c r="B423" s="4"/>
      <c r="C423" s="4"/>
      <c r="D423" s="4"/>
      <c r="E423" s="4"/>
      <c r="F423" s="4"/>
      <c r="G423" s="4"/>
    </row>
    <row r="424" spans="1:7" ht="15.75" customHeight="1" x14ac:dyDescent="0.3">
      <c r="A424" s="4"/>
      <c r="B424" s="4"/>
      <c r="C424" s="4"/>
      <c r="D424" s="4"/>
      <c r="E424" s="4"/>
      <c r="F424" s="4"/>
      <c r="G424" s="4"/>
    </row>
    <row r="425" spans="1:7" ht="15.75" customHeight="1" x14ac:dyDescent="0.3">
      <c r="A425" s="4"/>
      <c r="B425" s="4"/>
      <c r="C425" s="4"/>
      <c r="D425" s="4"/>
      <c r="E425" s="4"/>
      <c r="F425" s="4"/>
      <c r="G425" s="4"/>
    </row>
    <row r="426" spans="1:7" ht="15.75" customHeight="1" x14ac:dyDescent="0.3">
      <c r="A426" s="4"/>
      <c r="B426" s="4"/>
      <c r="C426" s="4"/>
      <c r="D426" s="4"/>
      <c r="E426" s="4"/>
      <c r="F426" s="4"/>
      <c r="G426" s="4"/>
    </row>
    <row r="427" spans="1:7" ht="15.75" customHeight="1" x14ac:dyDescent="0.3">
      <c r="A427" s="4"/>
      <c r="B427" s="4"/>
      <c r="C427" s="4"/>
      <c r="D427" s="4"/>
      <c r="E427" s="4"/>
      <c r="F427" s="4"/>
      <c r="G427" s="4"/>
    </row>
    <row r="428" spans="1:7" ht="15.75" customHeight="1" x14ac:dyDescent="0.3">
      <c r="A428" s="4"/>
      <c r="B428" s="4"/>
      <c r="C428" s="4"/>
      <c r="D428" s="4"/>
      <c r="E428" s="4"/>
      <c r="F428" s="4"/>
      <c r="G428" s="4"/>
    </row>
    <row r="429" spans="1:7" ht="15.75" customHeight="1" x14ac:dyDescent="0.3">
      <c r="A429" s="4"/>
      <c r="B429" s="4"/>
      <c r="C429" s="4"/>
      <c r="D429" s="4"/>
      <c r="E429" s="4"/>
      <c r="F429" s="4"/>
      <c r="G429" s="4"/>
    </row>
    <row r="430" spans="1:7" ht="15.75" customHeight="1" x14ac:dyDescent="0.3">
      <c r="A430" s="4"/>
      <c r="B430" s="4"/>
      <c r="C430" s="4"/>
      <c r="D430" s="4"/>
      <c r="E430" s="4"/>
      <c r="F430" s="4"/>
      <c r="G430" s="4"/>
    </row>
    <row r="431" spans="1:7" ht="15.75" customHeight="1" x14ac:dyDescent="0.3">
      <c r="A431" s="4"/>
      <c r="B431" s="4"/>
      <c r="C431" s="4"/>
      <c r="D431" s="4"/>
      <c r="E431" s="4"/>
      <c r="F431" s="4"/>
      <c r="G431" s="4"/>
    </row>
    <row r="432" spans="1:7" ht="15.75" customHeight="1" x14ac:dyDescent="0.3">
      <c r="A432" s="4"/>
      <c r="B432" s="4"/>
      <c r="C432" s="4"/>
      <c r="D432" s="4"/>
      <c r="E432" s="4"/>
      <c r="F432" s="4"/>
      <c r="G432" s="4"/>
    </row>
    <row r="433" spans="1:7" ht="15.75" customHeight="1" x14ac:dyDescent="0.3">
      <c r="A433" s="4"/>
      <c r="B433" s="4"/>
      <c r="C433" s="4"/>
      <c r="D433" s="4"/>
      <c r="E433" s="4"/>
      <c r="F433" s="4"/>
      <c r="G433" s="4"/>
    </row>
    <row r="434" spans="1:7" ht="15.75" customHeight="1" x14ac:dyDescent="0.3">
      <c r="A434" s="4"/>
      <c r="B434" s="4"/>
      <c r="C434" s="4"/>
      <c r="D434" s="4"/>
      <c r="E434" s="4"/>
      <c r="F434" s="4"/>
      <c r="G434" s="4"/>
    </row>
    <row r="435" spans="1:7" ht="15.75" customHeight="1" x14ac:dyDescent="0.3">
      <c r="A435" s="4"/>
      <c r="B435" s="4"/>
      <c r="C435" s="4"/>
      <c r="D435" s="4"/>
      <c r="E435" s="4"/>
      <c r="F435" s="4"/>
      <c r="G435" s="4"/>
    </row>
    <row r="436" spans="1:7" ht="15.75" customHeight="1" x14ac:dyDescent="0.3">
      <c r="A436" s="4"/>
      <c r="B436" s="4"/>
      <c r="C436" s="4"/>
      <c r="D436" s="4"/>
      <c r="E436" s="4"/>
      <c r="F436" s="4"/>
      <c r="G436" s="4"/>
    </row>
    <row r="437" spans="1:7" ht="15.75" customHeight="1" x14ac:dyDescent="0.3">
      <c r="A437" s="4"/>
      <c r="B437" s="4"/>
      <c r="C437" s="4"/>
      <c r="D437" s="4"/>
      <c r="E437" s="4"/>
      <c r="F437" s="4"/>
      <c r="G437" s="4"/>
    </row>
    <row r="438" spans="1:7" ht="15.75" customHeight="1" x14ac:dyDescent="0.3">
      <c r="A438" s="4"/>
      <c r="B438" s="4"/>
      <c r="C438" s="4"/>
      <c r="D438" s="4"/>
      <c r="E438" s="4"/>
      <c r="F438" s="4"/>
      <c r="G438" s="4"/>
    </row>
    <row r="439" spans="1:7" ht="15.75" customHeight="1" x14ac:dyDescent="0.3">
      <c r="A439" s="4"/>
      <c r="B439" s="4"/>
      <c r="C439" s="4"/>
      <c r="D439" s="4"/>
      <c r="E439" s="4"/>
      <c r="F439" s="4"/>
      <c r="G439" s="4"/>
    </row>
    <row r="440" spans="1:7" ht="15.75" customHeight="1" x14ac:dyDescent="0.3">
      <c r="A440" s="4"/>
      <c r="B440" s="4"/>
      <c r="C440" s="4"/>
      <c r="D440" s="4"/>
      <c r="E440" s="4"/>
      <c r="F440" s="4"/>
      <c r="G440" s="4"/>
    </row>
    <row r="441" spans="1:7" ht="15.75" customHeight="1" x14ac:dyDescent="0.3">
      <c r="A441" s="4"/>
      <c r="B441" s="4"/>
      <c r="C441" s="4"/>
      <c r="D441" s="4"/>
      <c r="E441" s="4"/>
      <c r="F441" s="4"/>
      <c r="G441" s="4"/>
    </row>
    <row r="442" spans="1:7" ht="15.75" customHeight="1" x14ac:dyDescent="0.3">
      <c r="A442" s="4"/>
      <c r="B442" s="4"/>
      <c r="C442" s="4"/>
      <c r="D442" s="4"/>
      <c r="E442" s="4"/>
      <c r="F442" s="4"/>
      <c r="G442" s="4"/>
    </row>
    <row r="443" spans="1:7" ht="15.75" customHeight="1" x14ac:dyDescent="0.3">
      <c r="A443" s="4"/>
      <c r="B443" s="4"/>
      <c r="C443" s="4"/>
      <c r="D443" s="4"/>
      <c r="E443" s="4"/>
      <c r="F443" s="4"/>
      <c r="G443" s="4"/>
    </row>
    <row r="444" spans="1:7" ht="15.75" customHeight="1" x14ac:dyDescent="0.3">
      <c r="A444" s="4"/>
      <c r="B444" s="4"/>
      <c r="C444" s="4"/>
      <c r="D444" s="4"/>
      <c r="E444" s="4"/>
      <c r="F444" s="4"/>
      <c r="G444" s="4"/>
    </row>
    <row r="445" spans="1:7" ht="15.75" customHeight="1" x14ac:dyDescent="0.3">
      <c r="A445" s="4"/>
      <c r="B445" s="4"/>
      <c r="C445" s="4"/>
      <c r="D445" s="4"/>
      <c r="E445" s="4"/>
      <c r="F445" s="4"/>
      <c r="G445" s="4"/>
    </row>
    <row r="446" spans="1:7" ht="15.75" customHeight="1" x14ac:dyDescent="0.3">
      <c r="A446" s="4"/>
      <c r="B446" s="4"/>
      <c r="C446" s="4"/>
      <c r="D446" s="4"/>
      <c r="E446" s="4"/>
      <c r="F446" s="4"/>
      <c r="G446" s="4"/>
    </row>
    <row r="447" spans="1:7" ht="15.75" customHeight="1" x14ac:dyDescent="0.3">
      <c r="A447" s="4"/>
      <c r="B447" s="4"/>
      <c r="C447" s="4"/>
      <c r="D447" s="4"/>
      <c r="E447" s="4"/>
      <c r="F447" s="4"/>
      <c r="G447" s="4"/>
    </row>
    <row r="448" spans="1:7" ht="15.75" customHeight="1" x14ac:dyDescent="0.3">
      <c r="A448" s="4"/>
      <c r="B448" s="4"/>
      <c r="C448" s="4"/>
      <c r="D448" s="4"/>
      <c r="E448" s="4"/>
      <c r="F448" s="4"/>
      <c r="G448" s="4"/>
    </row>
    <row r="449" spans="1:7" ht="15.75" customHeight="1" x14ac:dyDescent="0.3">
      <c r="A449" s="4"/>
      <c r="B449" s="4"/>
      <c r="C449" s="4"/>
      <c r="D449" s="4"/>
      <c r="E449" s="4"/>
      <c r="F449" s="4"/>
      <c r="G449" s="4"/>
    </row>
    <row r="450" spans="1:7" ht="15.75" customHeight="1" x14ac:dyDescent="0.3">
      <c r="A450" s="4"/>
      <c r="B450" s="4"/>
      <c r="C450" s="4"/>
      <c r="D450" s="4"/>
      <c r="E450" s="4"/>
      <c r="F450" s="4"/>
      <c r="G450" s="4"/>
    </row>
    <row r="451" spans="1:7" ht="15.75" customHeight="1" x14ac:dyDescent="0.3">
      <c r="A451" s="4"/>
      <c r="B451" s="4"/>
      <c r="C451" s="4"/>
      <c r="D451" s="4"/>
      <c r="E451" s="4"/>
      <c r="F451" s="4"/>
      <c r="G451" s="4"/>
    </row>
    <row r="452" spans="1:7" ht="15.75" customHeight="1" x14ac:dyDescent="0.3">
      <c r="A452" s="4"/>
      <c r="B452" s="4"/>
      <c r="C452" s="4"/>
      <c r="D452" s="4"/>
      <c r="E452" s="4"/>
      <c r="F452" s="4"/>
      <c r="G452" s="4"/>
    </row>
    <row r="453" spans="1:7" ht="15.75" customHeight="1" x14ac:dyDescent="0.3">
      <c r="A453" s="4"/>
      <c r="B453" s="4"/>
      <c r="C453" s="4"/>
      <c r="D453" s="4"/>
      <c r="E453" s="4"/>
      <c r="F453" s="4"/>
      <c r="G453" s="4"/>
    </row>
    <row r="454" spans="1:7" ht="15.75" customHeight="1" x14ac:dyDescent="0.3">
      <c r="A454" s="4"/>
      <c r="B454" s="4"/>
      <c r="C454" s="4"/>
      <c r="D454" s="4"/>
      <c r="E454" s="4"/>
      <c r="F454" s="4"/>
      <c r="G454" s="4"/>
    </row>
    <row r="455" spans="1:7" ht="15.75" customHeight="1" x14ac:dyDescent="0.3">
      <c r="A455" s="4"/>
      <c r="B455" s="4"/>
      <c r="C455" s="4"/>
      <c r="D455" s="4"/>
      <c r="E455" s="4"/>
      <c r="F455" s="4"/>
      <c r="G455" s="4"/>
    </row>
    <row r="456" spans="1:7" ht="15.75" customHeight="1" x14ac:dyDescent="0.3">
      <c r="A456" s="4"/>
      <c r="B456" s="4"/>
      <c r="C456" s="4"/>
      <c r="D456" s="4"/>
      <c r="E456" s="4"/>
      <c r="F456" s="4"/>
      <c r="G456" s="4"/>
    </row>
    <row r="457" spans="1:7" ht="15.75" customHeight="1" x14ac:dyDescent="0.3">
      <c r="A457" s="4"/>
      <c r="B457" s="4"/>
      <c r="C457" s="4"/>
      <c r="D457" s="4"/>
      <c r="E457" s="4"/>
      <c r="F457" s="4"/>
      <c r="G457" s="4"/>
    </row>
    <row r="458" spans="1:7" ht="15.75" customHeight="1" x14ac:dyDescent="0.3">
      <c r="A458" s="4"/>
      <c r="B458" s="4"/>
      <c r="C458" s="4"/>
      <c r="D458" s="4"/>
      <c r="E458" s="4"/>
      <c r="F458" s="4"/>
      <c r="G458" s="4"/>
    </row>
    <row r="459" spans="1:7" ht="15.75" customHeight="1" x14ac:dyDescent="0.3">
      <c r="A459" s="4"/>
      <c r="B459" s="4"/>
      <c r="C459" s="4"/>
      <c r="D459" s="4"/>
      <c r="E459" s="4"/>
      <c r="F459" s="4"/>
      <c r="G459" s="4"/>
    </row>
    <row r="460" spans="1:7" ht="15.75" customHeight="1" x14ac:dyDescent="0.3">
      <c r="A460" s="4"/>
      <c r="B460" s="4"/>
      <c r="C460" s="4"/>
      <c r="D460" s="4"/>
      <c r="E460" s="4"/>
      <c r="F460" s="4"/>
      <c r="G460" s="4"/>
    </row>
    <row r="461" spans="1:7" ht="15.75" customHeight="1" x14ac:dyDescent="0.3">
      <c r="A461" s="4"/>
      <c r="B461" s="4"/>
      <c r="C461" s="4"/>
      <c r="D461" s="4"/>
      <c r="E461" s="4"/>
      <c r="F461" s="4"/>
      <c r="G461" s="4"/>
    </row>
    <row r="462" spans="1:7" ht="15.75" customHeight="1" x14ac:dyDescent="0.3">
      <c r="A462" s="4"/>
      <c r="B462" s="4"/>
      <c r="C462" s="4"/>
      <c r="D462" s="4"/>
      <c r="E462" s="4"/>
      <c r="F462" s="4"/>
      <c r="G462" s="4"/>
    </row>
    <row r="463" spans="1:7" ht="15.75" customHeight="1" x14ac:dyDescent="0.3">
      <c r="A463" s="4"/>
      <c r="B463" s="4"/>
      <c r="C463" s="4"/>
      <c r="D463" s="4"/>
      <c r="E463" s="4"/>
      <c r="F463" s="4"/>
      <c r="G463" s="4"/>
    </row>
    <row r="464" spans="1:7" ht="15.75" customHeight="1" x14ac:dyDescent="0.3">
      <c r="A464" s="4"/>
      <c r="B464" s="4"/>
      <c r="C464" s="4"/>
      <c r="D464" s="4"/>
      <c r="E464" s="4"/>
      <c r="F464" s="4"/>
      <c r="G464" s="4"/>
    </row>
    <row r="465" spans="1:7" ht="15.75" customHeight="1" x14ac:dyDescent="0.3">
      <c r="A465" s="4"/>
      <c r="B465" s="4"/>
      <c r="C465" s="4"/>
      <c r="D465" s="4"/>
      <c r="E465" s="4"/>
      <c r="F465" s="4"/>
      <c r="G465" s="4"/>
    </row>
    <row r="466" spans="1:7" ht="15.75" customHeight="1" x14ac:dyDescent="0.3">
      <c r="A466" s="4"/>
      <c r="B466" s="4"/>
      <c r="C466" s="4"/>
      <c r="D466" s="4"/>
      <c r="E466" s="4"/>
      <c r="F466" s="4"/>
      <c r="G466" s="4"/>
    </row>
    <row r="467" spans="1:7" ht="15.75" customHeight="1" x14ac:dyDescent="0.3">
      <c r="A467" s="4"/>
      <c r="B467" s="4"/>
      <c r="C467" s="4"/>
      <c r="D467" s="4"/>
      <c r="E467" s="4"/>
      <c r="F467" s="4"/>
      <c r="G467" s="4"/>
    </row>
    <row r="468" spans="1:7" ht="15.75" customHeight="1" x14ac:dyDescent="0.3">
      <c r="A468" s="4"/>
      <c r="B468" s="4"/>
      <c r="C468" s="4"/>
      <c r="D468" s="4"/>
      <c r="E468" s="4"/>
      <c r="F468" s="4"/>
      <c r="G468" s="4"/>
    </row>
    <row r="469" spans="1:7" ht="15.75" customHeight="1" x14ac:dyDescent="0.3">
      <c r="A469" s="4"/>
      <c r="B469" s="4"/>
      <c r="C469" s="4"/>
      <c r="D469" s="4"/>
      <c r="E469" s="4"/>
      <c r="F469" s="4"/>
      <c r="G469" s="4"/>
    </row>
    <row r="470" spans="1:7" ht="15.75" customHeight="1" x14ac:dyDescent="0.3">
      <c r="A470" s="4"/>
      <c r="B470" s="4"/>
      <c r="C470" s="4"/>
      <c r="D470" s="4"/>
      <c r="E470" s="4"/>
      <c r="F470" s="4"/>
      <c r="G470" s="4"/>
    </row>
    <row r="471" spans="1:7" ht="15.75" customHeight="1" x14ac:dyDescent="0.3">
      <c r="A471" s="4"/>
      <c r="B471" s="4"/>
      <c r="C471" s="4"/>
      <c r="D471" s="4"/>
      <c r="E471" s="4"/>
      <c r="F471" s="4"/>
      <c r="G471" s="4"/>
    </row>
    <row r="472" spans="1:7" ht="15.75" customHeight="1" x14ac:dyDescent="0.3">
      <c r="A472" s="4"/>
      <c r="B472" s="4"/>
      <c r="C472" s="4"/>
      <c r="D472" s="4"/>
      <c r="E472" s="4"/>
      <c r="F472" s="4"/>
      <c r="G472" s="4"/>
    </row>
    <row r="473" spans="1:7" ht="15.75" customHeight="1" x14ac:dyDescent="0.3">
      <c r="A473" s="4"/>
      <c r="B473" s="4"/>
      <c r="C473" s="4"/>
      <c r="D473" s="4"/>
      <c r="E473" s="4"/>
      <c r="F473" s="4"/>
      <c r="G473" s="4"/>
    </row>
    <row r="474" spans="1:7" ht="15.75" customHeight="1" x14ac:dyDescent="0.3">
      <c r="A474" s="4"/>
      <c r="B474" s="4"/>
      <c r="C474" s="4"/>
      <c r="D474" s="4"/>
      <c r="E474" s="4"/>
      <c r="F474" s="4"/>
      <c r="G474" s="4"/>
    </row>
    <row r="475" spans="1:7" ht="15.75" customHeight="1" x14ac:dyDescent="0.3">
      <c r="A475" s="4"/>
      <c r="B475" s="4"/>
      <c r="C475" s="4"/>
      <c r="D475" s="4"/>
      <c r="E475" s="4"/>
      <c r="F475" s="4"/>
      <c r="G475" s="4"/>
    </row>
    <row r="476" spans="1:7" ht="15.75" customHeight="1" x14ac:dyDescent="0.3">
      <c r="A476" s="4"/>
      <c r="B476" s="4"/>
      <c r="C476" s="4"/>
      <c r="D476" s="4"/>
      <c r="E476" s="4"/>
      <c r="F476" s="4"/>
      <c r="G476" s="4"/>
    </row>
    <row r="477" spans="1:7" ht="15.75" customHeight="1" x14ac:dyDescent="0.3">
      <c r="A477" s="4"/>
      <c r="B477" s="4"/>
      <c r="C477" s="4"/>
      <c r="D477" s="4"/>
      <c r="E477" s="4"/>
      <c r="F477" s="4"/>
      <c r="G477" s="4"/>
    </row>
    <row r="478" spans="1:7" ht="15.75" customHeight="1" x14ac:dyDescent="0.3">
      <c r="A478" s="4"/>
      <c r="B478" s="4"/>
      <c r="C478" s="4"/>
      <c r="D478" s="4"/>
      <c r="E478" s="4"/>
      <c r="F478" s="4"/>
      <c r="G478" s="4"/>
    </row>
    <row r="479" spans="1:7" ht="15.75" customHeight="1" x14ac:dyDescent="0.3">
      <c r="A479" s="4"/>
      <c r="B479" s="4"/>
      <c r="C479" s="4"/>
      <c r="D479" s="4"/>
      <c r="E479" s="4"/>
      <c r="F479" s="4"/>
      <c r="G479" s="4"/>
    </row>
    <row r="480" spans="1:7" ht="15.75" customHeight="1" x14ac:dyDescent="0.3">
      <c r="A480" s="4"/>
      <c r="B480" s="4"/>
      <c r="C480" s="4"/>
      <c r="D480" s="4"/>
      <c r="E480" s="4"/>
      <c r="F480" s="4"/>
      <c r="G480" s="4"/>
    </row>
    <row r="481" spans="1:7" ht="15.75" customHeight="1" x14ac:dyDescent="0.3">
      <c r="A481" s="4"/>
      <c r="B481" s="4"/>
      <c r="C481" s="4"/>
      <c r="D481" s="4"/>
      <c r="E481" s="4"/>
      <c r="F481" s="4"/>
      <c r="G481" s="4"/>
    </row>
    <row r="482" spans="1:7" ht="15.75" customHeight="1" x14ac:dyDescent="0.3">
      <c r="A482" s="4"/>
      <c r="B482" s="4"/>
      <c r="C482" s="4"/>
      <c r="D482" s="4"/>
      <c r="E482" s="4"/>
      <c r="F482" s="4"/>
      <c r="G482" s="4"/>
    </row>
    <row r="483" spans="1:7" ht="15.75" customHeight="1" x14ac:dyDescent="0.3">
      <c r="A483" s="4"/>
      <c r="B483" s="4"/>
      <c r="C483" s="4"/>
      <c r="D483" s="4"/>
      <c r="E483" s="4"/>
      <c r="F483" s="4"/>
      <c r="G483" s="4"/>
    </row>
    <row r="484" spans="1:7" ht="15.75" customHeight="1" x14ac:dyDescent="0.3">
      <c r="A484" s="4"/>
      <c r="B484" s="4"/>
      <c r="C484" s="4"/>
      <c r="D484" s="4"/>
      <c r="E484" s="4"/>
      <c r="F484" s="4"/>
      <c r="G484" s="4"/>
    </row>
    <row r="485" spans="1:7" ht="15.75" customHeight="1" x14ac:dyDescent="0.3">
      <c r="A485" s="4"/>
      <c r="B485" s="4"/>
      <c r="C485" s="4"/>
      <c r="D485" s="4"/>
      <c r="E485" s="4"/>
      <c r="F485" s="4"/>
      <c r="G485" s="4"/>
    </row>
    <row r="486" spans="1:7" ht="15.75" customHeight="1" x14ac:dyDescent="0.3">
      <c r="A486" s="4"/>
      <c r="B486" s="4"/>
      <c r="C486" s="4"/>
      <c r="D486" s="4"/>
      <c r="E486" s="4"/>
      <c r="F486" s="4"/>
      <c r="G486" s="4"/>
    </row>
    <row r="487" spans="1:7" ht="15.75" customHeight="1" x14ac:dyDescent="0.3">
      <c r="A487" s="4"/>
      <c r="B487" s="4"/>
      <c r="C487" s="4"/>
      <c r="D487" s="4"/>
      <c r="E487" s="4"/>
      <c r="F487" s="4"/>
      <c r="G487" s="4"/>
    </row>
    <row r="488" spans="1:7" ht="15.75" customHeight="1" x14ac:dyDescent="0.3">
      <c r="A488" s="4"/>
      <c r="B488" s="4"/>
      <c r="C488" s="4"/>
      <c r="D488" s="4"/>
      <c r="E488" s="4"/>
      <c r="F488" s="4"/>
      <c r="G488" s="4"/>
    </row>
    <row r="489" spans="1:7" ht="15.75" customHeight="1" x14ac:dyDescent="0.3">
      <c r="A489" s="4"/>
      <c r="B489" s="4"/>
      <c r="C489" s="4"/>
      <c r="D489" s="4"/>
      <c r="E489" s="4"/>
      <c r="F489" s="4"/>
      <c r="G489" s="4"/>
    </row>
    <row r="490" spans="1:7" ht="15.75" customHeight="1" x14ac:dyDescent="0.3">
      <c r="A490" s="4"/>
      <c r="B490" s="4"/>
      <c r="C490" s="4"/>
      <c r="D490" s="4"/>
      <c r="E490" s="4"/>
      <c r="F490" s="4"/>
      <c r="G490" s="4"/>
    </row>
    <row r="491" spans="1:7" ht="15.75" customHeight="1" x14ac:dyDescent="0.3">
      <c r="A491" s="4"/>
      <c r="B491" s="4"/>
      <c r="C491" s="4"/>
      <c r="D491" s="4"/>
      <c r="E491" s="4"/>
      <c r="F491" s="4"/>
      <c r="G491" s="4"/>
    </row>
    <row r="492" spans="1:7" ht="15.75" customHeight="1" x14ac:dyDescent="0.3">
      <c r="A492" s="4"/>
      <c r="B492" s="4"/>
      <c r="C492" s="4"/>
      <c r="D492" s="4"/>
      <c r="E492" s="4"/>
      <c r="F492" s="4"/>
      <c r="G492" s="4"/>
    </row>
    <row r="493" spans="1:7" ht="15.75" customHeight="1" x14ac:dyDescent="0.3">
      <c r="A493" s="4"/>
      <c r="B493" s="4"/>
      <c r="C493" s="4"/>
      <c r="D493" s="4"/>
      <c r="E493" s="4"/>
      <c r="F493" s="4"/>
      <c r="G493" s="4"/>
    </row>
    <row r="494" spans="1:7" ht="15.75" customHeight="1" x14ac:dyDescent="0.3">
      <c r="A494" s="4"/>
      <c r="B494" s="4"/>
      <c r="C494" s="4"/>
      <c r="D494" s="4"/>
      <c r="E494" s="4"/>
      <c r="F494" s="4"/>
      <c r="G494" s="4"/>
    </row>
    <row r="495" spans="1:7" ht="15.75" customHeight="1" x14ac:dyDescent="0.3">
      <c r="A495" s="4"/>
      <c r="B495" s="4"/>
      <c r="C495" s="4"/>
      <c r="D495" s="4"/>
      <c r="E495" s="4"/>
      <c r="F495" s="4"/>
      <c r="G495" s="4"/>
    </row>
    <row r="496" spans="1:7" ht="15.75" customHeight="1" x14ac:dyDescent="0.3">
      <c r="A496" s="4"/>
      <c r="B496" s="4"/>
      <c r="C496" s="4"/>
      <c r="D496" s="4"/>
      <c r="E496" s="4"/>
      <c r="F496" s="4"/>
      <c r="G496" s="4"/>
    </row>
    <row r="497" spans="1:7" ht="15.75" customHeight="1" x14ac:dyDescent="0.3">
      <c r="A497" s="4"/>
      <c r="B497" s="4"/>
      <c r="C497" s="4"/>
      <c r="D497" s="4"/>
      <c r="E497" s="4"/>
      <c r="F497" s="4"/>
      <c r="G497" s="4"/>
    </row>
    <row r="498" spans="1:7" ht="15.75" customHeight="1" x14ac:dyDescent="0.3">
      <c r="A498" s="4"/>
      <c r="B498" s="4"/>
      <c r="C498" s="4"/>
      <c r="D498" s="4"/>
      <c r="E498" s="4"/>
      <c r="F498" s="4"/>
      <c r="G498" s="4"/>
    </row>
    <row r="499" spans="1:7" ht="15.75" customHeight="1" x14ac:dyDescent="0.3">
      <c r="A499" s="4"/>
      <c r="B499" s="4"/>
      <c r="C499" s="4"/>
      <c r="D499" s="4"/>
      <c r="E499" s="4"/>
      <c r="F499" s="4"/>
      <c r="G499" s="4"/>
    </row>
    <row r="500" spans="1:7" ht="15.75" customHeight="1" x14ac:dyDescent="0.3">
      <c r="A500" s="4"/>
      <c r="B500" s="4"/>
      <c r="C500" s="4"/>
      <c r="D500" s="4"/>
      <c r="E500" s="4"/>
      <c r="F500" s="4"/>
      <c r="G500" s="4"/>
    </row>
    <row r="501" spans="1:7" ht="15.75" customHeight="1" x14ac:dyDescent="0.3">
      <c r="A501" s="4"/>
      <c r="B501" s="4"/>
      <c r="C501" s="4"/>
      <c r="D501" s="4"/>
      <c r="E501" s="4"/>
      <c r="F501" s="4"/>
      <c r="G501" s="4"/>
    </row>
    <row r="502" spans="1:7" ht="15.75" customHeight="1" x14ac:dyDescent="0.3">
      <c r="A502" s="4"/>
      <c r="B502" s="4"/>
      <c r="C502" s="4"/>
      <c r="D502" s="4"/>
      <c r="E502" s="4"/>
      <c r="F502" s="4"/>
      <c r="G502" s="4"/>
    </row>
    <row r="503" spans="1:7" ht="15.75" customHeight="1" x14ac:dyDescent="0.3">
      <c r="A503" s="4"/>
      <c r="B503" s="4"/>
      <c r="C503" s="4"/>
      <c r="D503" s="4"/>
      <c r="E503" s="4"/>
      <c r="F503" s="4"/>
      <c r="G503" s="4"/>
    </row>
    <row r="504" spans="1:7" ht="15.75" customHeight="1" x14ac:dyDescent="0.3">
      <c r="A504" s="4"/>
      <c r="B504" s="4"/>
      <c r="C504" s="4"/>
      <c r="D504" s="4"/>
      <c r="E504" s="4"/>
      <c r="F504" s="4"/>
      <c r="G504" s="4"/>
    </row>
    <row r="505" spans="1:7" ht="15.75" customHeight="1" x14ac:dyDescent="0.3">
      <c r="A505" s="4"/>
      <c r="B505" s="4"/>
      <c r="C505" s="4"/>
      <c r="D505" s="4"/>
      <c r="E505" s="4"/>
      <c r="F505" s="4"/>
      <c r="G505" s="4"/>
    </row>
    <row r="506" spans="1:7" ht="15.75" customHeight="1" x14ac:dyDescent="0.3">
      <c r="A506" s="4"/>
      <c r="B506" s="4"/>
      <c r="C506" s="4"/>
      <c r="D506" s="4"/>
      <c r="E506" s="4"/>
      <c r="F506" s="4"/>
      <c r="G506" s="4"/>
    </row>
    <row r="507" spans="1:7" ht="15.75" customHeight="1" x14ac:dyDescent="0.3">
      <c r="A507" s="4"/>
      <c r="B507" s="4"/>
      <c r="C507" s="4"/>
      <c r="D507" s="4"/>
      <c r="E507" s="4"/>
      <c r="F507" s="4"/>
      <c r="G507" s="4"/>
    </row>
    <row r="508" spans="1:7" ht="15.75" customHeight="1" x14ac:dyDescent="0.3">
      <c r="A508" s="4"/>
      <c r="B508" s="4"/>
      <c r="C508" s="4"/>
      <c r="D508" s="4"/>
      <c r="E508" s="4"/>
      <c r="F508" s="4"/>
      <c r="G508" s="4"/>
    </row>
    <row r="509" spans="1:7" ht="15.75" customHeight="1" x14ac:dyDescent="0.3">
      <c r="A509" s="4"/>
      <c r="B509" s="4"/>
      <c r="C509" s="4"/>
      <c r="D509" s="4"/>
      <c r="E509" s="4"/>
      <c r="F509" s="4"/>
      <c r="G509" s="4"/>
    </row>
    <row r="510" spans="1:7" ht="15.75" customHeight="1" x14ac:dyDescent="0.3">
      <c r="A510" s="4"/>
      <c r="B510" s="4"/>
      <c r="C510" s="4"/>
      <c r="D510" s="4"/>
      <c r="E510" s="4"/>
      <c r="F510" s="4"/>
      <c r="G510" s="4"/>
    </row>
    <row r="511" spans="1:7" ht="15.75" customHeight="1" x14ac:dyDescent="0.3">
      <c r="A511" s="4"/>
      <c r="B511" s="4"/>
      <c r="C511" s="4"/>
      <c r="D511" s="4"/>
      <c r="E511" s="4"/>
      <c r="F511" s="4"/>
      <c r="G511" s="4"/>
    </row>
    <row r="512" spans="1:7" ht="15.75" customHeight="1" x14ac:dyDescent="0.3">
      <c r="A512" s="4"/>
      <c r="B512" s="4"/>
      <c r="C512" s="4"/>
      <c r="D512" s="4"/>
      <c r="E512" s="4"/>
      <c r="F512" s="4"/>
      <c r="G512" s="4"/>
    </row>
    <row r="513" spans="1:7" ht="15.75" customHeight="1" x14ac:dyDescent="0.3">
      <c r="A513" s="4"/>
      <c r="B513" s="4"/>
      <c r="C513" s="4"/>
      <c r="D513" s="4"/>
      <c r="E513" s="4"/>
      <c r="F513" s="4"/>
      <c r="G513" s="4"/>
    </row>
    <row r="514" spans="1:7" ht="15.75" customHeight="1" x14ac:dyDescent="0.3">
      <c r="A514" s="4"/>
      <c r="B514" s="4"/>
      <c r="C514" s="4"/>
      <c r="D514" s="4"/>
      <c r="E514" s="4"/>
      <c r="F514" s="4"/>
      <c r="G514" s="4"/>
    </row>
    <row r="515" spans="1:7" ht="15.75" customHeight="1" x14ac:dyDescent="0.3">
      <c r="A515" s="4"/>
      <c r="B515" s="4"/>
      <c r="C515" s="4"/>
      <c r="D515" s="4"/>
      <c r="E515" s="4"/>
      <c r="F515" s="4"/>
      <c r="G515" s="4"/>
    </row>
    <row r="516" spans="1:7" ht="15.75" customHeight="1" x14ac:dyDescent="0.3">
      <c r="A516" s="4"/>
      <c r="B516" s="4"/>
      <c r="C516" s="4"/>
      <c r="D516" s="4"/>
      <c r="E516" s="4"/>
      <c r="F516" s="4"/>
      <c r="G516" s="4"/>
    </row>
    <row r="517" spans="1:7" ht="15.75" customHeight="1" x14ac:dyDescent="0.3">
      <c r="A517" s="4"/>
      <c r="B517" s="4"/>
      <c r="C517" s="4"/>
      <c r="D517" s="4"/>
      <c r="E517" s="4"/>
      <c r="F517" s="4"/>
      <c r="G517" s="4"/>
    </row>
    <row r="518" spans="1:7" ht="15.75" customHeight="1" x14ac:dyDescent="0.3">
      <c r="A518" s="4"/>
      <c r="B518" s="4"/>
      <c r="C518" s="4"/>
      <c r="D518" s="4"/>
      <c r="E518" s="4"/>
      <c r="F518" s="4"/>
      <c r="G518" s="4"/>
    </row>
    <row r="519" spans="1:7" ht="15.75" customHeight="1" x14ac:dyDescent="0.3">
      <c r="A519" s="4"/>
      <c r="B519" s="4"/>
      <c r="C519" s="4"/>
      <c r="D519" s="4"/>
      <c r="E519" s="4"/>
      <c r="F519" s="4"/>
      <c r="G519" s="4"/>
    </row>
    <row r="520" spans="1:7" ht="15.75" customHeight="1" x14ac:dyDescent="0.3">
      <c r="A520" s="4"/>
      <c r="B520" s="4"/>
      <c r="C520" s="4"/>
      <c r="D520" s="4"/>
      <c r="E520" s="4"/>
      <c r="F520" s="4"/>
      <c r="G520" s="4"/>
    </row>
    <row r="521" spans="1:7" ht="15.75" customHeight="1" x14ac:dyDescent="0.3">
      <c r="A521" s="4"/>
      <c r="B521" s="4"/>
      <c r="C521" s="4"/>
      <c r="D521" s="4"/>
      <c r="E521" s="4"/>
      <c r="F521" s="4"/>
      <c r="G521" s="4"/>
    </row>
    <row r="522" spans="1:7" ht="15.75" customHeight="1" x14ac:dyDescent="0.3">
      <c r="A522" s="4"/>
      <c r="B522" s="4"/>
      <c r="C522" s="4"/>
      <c r="D522" s="4"/>
      <c r="E522" s="4"/>
      <c r="F522" s="4"/>
      <c r="G522" s="4"/>
    </row>
    <row r="523" spans="1:7" ht="15.75" customHeight="1" x14ac:dyDescent="0.3">
      <c r="A523" s="4"/>
      <c r="B523" s="4"/>
      <c r="C523" s="4"/>
      <c r="D523" s="4"/>
      <c r="E523" s="4"/>
      <c r="F523" s="4"/>
      <c r="G523" s="4"/>
    </row>
    <row r="524" spans="1:7" ht="15.75" customHeight="1" x14ac:dyDescent="0.3">
      <c r="A524" s="4"/>
      <c r="B524" s="4"/>
      <c r="C524" s="4"/>
      <c r="D524" s="4"/>
      <c r="E524" s="4"/>
      <c r="F524" s="4"/>
      <c r="G524" s="4"/>
    </row>
    <row r="525" spans="1:7" ht="15.75" customHeight="1" x14ac:dyDescent="0.3">
      <c r="A525" s="4"/>
      <c r="B525" s="4"/>
      <c r="C525" s="4"/>
      <c r="D525" s="4"/>
      <c r="E525" s="4"/>
      <c r="F525" s="4"/>
      <c r="G525" s="4"/>
    </row>
    <row r="526" spans="1:7" ht="15.75" customHeight="1" x14ac:dyDescent="0.3">
      <c r="A526" s="4"/>
      <c r="B526" s="4"/>
      <c r="C526" s="4"/>
      <c r="D526" s="4"/>
      <c r="E526" s="4"/>
      <c r="F526" s="4"/>
      <c r="G526" s="4"/>
    </row>
    <row r="527" spans="1:7" ht="15.75" customHeight="1" x14ac:dyDescent="0.3">
      <c r="A527" s="4"/>
      <c r="B527" s="4"/>
      <c r="C527" s="4"/>
      <c r="D527" s="4"/>
      <c r="E527" s="4"/>
      <c r="F527" s="4"/>
      <c r="G527" s="4"/>
    </row>
    <row r="528" spans="1:7" ht="15.75" customHeight="1" x14ac:dyDescent="0.3">
      <c r="A528" s="4"/>
      <c r="B528" s="4"/>
      <c r="C528" s="4"/>
      <c r="D528" s="4"/>
      <c r="E528" s="4"/>
      <c r="F528" s="4"/>
      <c r="G528" s="4"/>
    </row>
    <row r="529" spans="1:7" ht="15.75" customHeight="1" x14ac:dyDescent="0.3">
      <c r="A529" s="4"/>
      <c r="B529" s="4"/>
      <c r="C529" s="4"/>
      <c r="D529" s="4"/>
      <c r="E529" s="4"/>
      <c r="F529" s="4"/>
      <c r="G529" s="4"/>
    </row>
    <row r="530" spans="1:7" ht="15.75" customHeight="1" x14ac:dyDescent="0.3">
      <c r="A530" s="4"/>
      <c r="B530" s="4"/>
      <c r="C530" s="4"/>
      <c r="D530" s="4"/>
      <c r="E530" s="4"/>
      <c r="F530" s="4"/>
      <c r="G530" s="4"/>
    </row>
    <row r="531" spans="1:7" ht="15.75" customHeight="1" x14ac:dyDescent="0.3">
      <c r="A531" s="4"/>
      <c r="B531" s="4"/>
      <c r="C531" s="4"/>
      <c r="D531" s="4"/>
      <c r="E531" s="4"/>
      <c r="F531" s="4"/>
      <c r="G531" s="4"/>
    </row>
    <row r="532" spans="1:7" ht="15.75" customHeight="1" x14ac:dyDescent="0.3">
      <c r="A532" s="4"/>
      <c r="B532" s="4"/>
      <c r="C532" s="4"/>
      <c r="D532" s="4"/>
      <c r="E532" s="4"/>
      <c r="F532" s="4"/>
      <c r="G532" s="4"/>
    </row>
    <row r="533" spans="1:7" ht="15.75" customHeight="1" x14ac:dyDescent="0.3">
      <c r="A533" s="4"/>
      <c r="B533" s="4"/>
      <c r="C533" s="4"/>
      <c r="D533" s="4"/>
      <c r="E533" s="4"/>
      <c r="F533" s="4"/>
      <c r="G533" s="4"/>
    </row>
    <row r="534" spans="1:7" ht="15.75" customHeight="1" x14ac:dyDescent="0.3">
      <c r="A534" s="4"/>
      <c r="B534" s="4"/>
      <c r="C534" s="4"/>
      <c r="D534" s="4"/>
      <c r="E534" s="4"/>
      <c r="F534" s="4"/>
      <c r="G534" s="4"/>
    </row>
    <row r="535" spans="1:7" ht="15.75" customHeight="1" x14ac:dyDescent="0.3">
      <c r="A535" s="4"/>
      <c r="B535" s="4"/>
      <c r="C535" s="4"/>
      <c r="D535" s="4"/>
      <c r="E535" s="4"/>
      <c r="F535" s="4"/>
      <c r="G535" s="4"/>
    </row>
    <row r="536" spans="1:7" ht="15.75" customHeight="1" x14ac:dyDescent="0.3">
      <c r="A536" s="4"/>
      <c r="B536" s="4"/>
      <c r="C536" s="4"/>
      <c r="D536" s="4"/>
      <c r="E536" s="4"/>
      <c r="F536" s="4"/>
      <c r="G536" s="4"/>
    </row>
    <row r="537" spans="1:7" ht="15.75" customHeight="1" x14ac:dyDescent="0.3">
      <c r="A537" s="4"/>
      <c r="B537" s="4"/>
      <c r="C537" s="4"/>
      <c r="D537" s="4"/>
      <c r="E537" s="4"/>
      <c r="F537" s="4"/>
      <c r="G537" s="4"/>
    </row>
    <row r="538" spans="1:7" ht="15.75" customHeight="1" x14ac:dyDescent="0.3">
      <c r="A538" s="4"/>
      <c r="B538" s="4"/>
      <c r="C538" s="4"/>
      <c r="D538" s="4"/>
      <c r="E538" s="4"/>
      <c r="F538" s="4"/>
      <c r="G538" s="4"/>
    </row>
    <row r="539" spans="1:7" ht="15.75" customHeight="1" x14ac:dyDescent="0.3">
      <c r="A539" s="4"/>
      <c r="B539" s="4"/>
      <c r="C539" s="4"/>
      <c r="D539" s="4"/>
      <c r="E539" s="4"/>
      <c r="F539" s="4"/>
      <c r="G539" s="4"/>
    </row>
    <row r="540" spans="1:7" ht="15.75" customHeight="1" x14ac:dyDescent="0.3">
      <c r="A540" s="4"/>
      <c r="B540" s="4"/>
      <c r="C540" s="4"/>
      <c r="D540" s="4"/>
      <c r="E540" s="4"/>
      <c r="F540" s="4"/>
      <c r="G540" s="4"/>
    </row>
    <row r="541" spans="1:7" ht="15.75" customHeight="1" x14ac:dyDescent="0.3">
      <c r="A541" s="4"/>
      <c r="B541" s="4"/>
      <c r="C541" s="4"/>
      <c r="D541" s="4"/>
      <c r="E541" s="4"/>
      <c r="F541" s="4"/>
      <c r="G541" s="4"/>
    </row>
    <row r="542" spans="1:7" ht="15.75" customHeight="1" x14ac:dyDescent="0.3">
      <c r="A542" s="4"/>
      <c r="B542" s="4"/>
      <c r="C542" s="4"/>
      <c r="D542" s="4"/>
      <c r="E542" s="4"/>
      <c r="F542" s="4"/>
      <c r="G542" s="4"/>
    </row>
    <row r="543" spans="1:7" ht="15.75" customHeight="1" x14ac:dyDescent="0.3">
      <c r="A543" s="4"/>
      <c r="B543" s="4"/>
      <c r="C543" s="4"/>
      <c r="D543" s="4"/>
      <c r="E543" s="4"/>
      <c r="F543" s="4"/>
      <c r="G543" s="4"/>
    </row>
    <row r="544" spans="1:7" ht="15.75" customHeight="1" x14ac:dyDescent="0.3">
      <c r="A544" s="4"/>
      <c r="B544" s="4"/>
      <c r="C544" s="4"/>
      <c r="D544" s="4"/>
      <c r="E544" s="4"/>
      <c r="F544" s="4"/>
      <c r="G544" s="4"/>
    </row>
    <row r="545" spans="1:7" ht="15.75" customHeight="1" x14ac:dyDescent="0.3">
      <c r="A545" s="4"/>
      <c r="B545" s="4"/>
      <c r="C545" s="4"/>
      <c r="D545" s="4"/>
      <c r="E545" s="4"/>
      <c r="F545" s="4"/>
      <c r="G545" s="4"/>
    </row>
    <row r="546" spans="1:7" ht="15.75" customHeight="1" x14ac:dyDescent="0.3">
      <c r="A546" s="4"/>
      <c r="B546" s="4"/>
      <c r="C546" s="4"/>
      <c r="D546" s="4"/>
      <c r="E546" s="4"/>
      <c r="F546" s="4"/>
      <c r="G546" s="4"/>
    </row>
    <row r="547" spans="1:7" ht="15.75" customHeight="1" x14ac:dyDescent="0.3">
      <c r="A547" s="4"/>
      <c r="B547" s="4"/>
      <c r="C547" s="4"/>
      <c r="D547" s="4"/>
      <c r="E547" s="4"/>
      <c r="F547" s="4"/>
      <c r="G547" s="4"/>
    </row>
    <row r="548" spans="1:7" ht="15.75" customHeight="1" x14ac:dyDescent="0.3">
      <c r="A548" s="4"/>
      <c r="B548" s="4"/>
      <c r="C548" s="4"/>
      <c r="D548" s="4"/>
      <c r="E548" s="4"/>
      <c r="F548" s="4"/>
      <c r="G548" s="4"/>
    </row>
    <row r="549" spans="1:7" ht="15.75" customHeight="1" x14ac:dyDescent="0.3">
      <c r="A549" s="4"/>
      <c r="B549" s="4"/>
      <c r="C549" s="4"/>
      <c r="D549" s="4"/>
      <c r="E549" s="4"/>
      <c r="F549" s="4"/>
      <c r="G549" s="4"/>
    </row>
    <row r="550" spans="1:7" ht="15.75" customHeight="1" x14ac:dyDescent="0.3">
      <c r="A550" s="4"/>
      <c r="B550" s="4"/>
      <c r="C550" s="4"/>
      <c r="D550" s="4"/>
      <c r="E550" s="4"/>
      <c r="F550" s="4"/>
      <c r="G550" s="4"/>
    </row>
    <row r="551" spans="1:7" ht="15.75" customHeight="1" x14ac:dyDescent="0.3">
      <c r="A551" s="4"/>
      <c r="B551" s="4"/>
      <c r="C551" s="4"/>
      <c r="D551" s="4"/>
      <c r="E551" s="4"/>
      <c r="F551" s="4"/>
      <c r="G551" s="4"/>
    </row>
    <row r="552" spans="1:7" ht="15.75" customHeight="1" x14ac:dyDescent="0.3">
      <c r="A552" s="4"/>
      <c r="B552" s="4"/>
      <c r="C552" s="4"/>
      <c r="D552" s="4"/>
      <c r="E552" s="4"/>
      <c r="F552" s="4"/>
      <c r="G552" s="4"/>
    </row>
    <row r="553" spans="1:7" ht="15.75" customHeight="1" x14ac:dyDescent="0.3">
      <c r="A553" s="4"/>
      <c r="B553" s="4"/>
      <c r="C553" s="4"/>
      <c r="D553" s="4"/>
      <c r="E553" s="4"/>
      <c r="F553" s="4"/>
      <c r="G553" s="4"/>
    </row>
    <row r="554" spans="1:7" ht="15.75" customHeight="1" x14ac:dyDescent="0.3">
      <c r="A554" s="4"/>
      <c r="B554" s="4"/>
      <c r="C554" s="4"/>
      <c r="D554" s="4"/>
      <c r="E554" s="4"/>
      <c r="F554" s="4"/>
      <c r="G554" s="4"/>
    </row>
    <row r="555" spans="1:7" ht="15.75" customHeight="1" x14ac:dyDescent="0.3">
      <c r="A555" s="4"/>
      <c r="B555" s="4"/>
      <c r="C555" s="4"/>
      <c r="D555" s="4"/>
      <c r="E555" s="4"/>
      <c r="F555" s="4"/>
      <c r="G555" s="4"/>
    </row>
    <row r="556" spans="1:7" ht="15.75" customHeight="1" x14ac:dyDescent="0.3">
      <c r="A556" s="4"/>
      <c r="B556" s="4"/>
      <c r="C556" s="4"/>
      <c r="D556" s="4"/>
      <c r="E556" s="4"/>
      <c r="F556" s="4"/>
      <c r="G556" s="4"/>
    </row>
    <row r="557" spans="1:7" ht="15.75" customHeight="1" x14ac:dyDescent="0.3">
      <c r="A557" s="4"/>
      <c r="B557" s="4"/>
      <c r="C557" s="4"/>
      <c r="D557" s="4"/>
      <c r="E557" s="4"/>
      <c r="F557" s="4"/>
      <c r="G557" s="4"/>
    </row>
    <row r="558" spans="1:7" ht="15.75" customHeight="1" x14ac:dyDescent="0.3">
      <c r="A558" s="4"/>
      <c r="B558" s="4"/>
      <c r="C558" s="4"/>
      <c r="D558" s="4"/>
      <c r="E558" s="4"/>
      <c r="F558" s="4"/>
      <c r="G558" s="4"/>
    </row>
    <row r="559" spans="1:7" ht="15.75" customHeight="1" x14ac:dyDescent="0.3">
      <c r="A559" s="4"/>
      <c r="B559" s="4"/>
      <c r="C559" s="4"/>
      <c r="D559" s="4"/>
      <c r="E559" s="4"/>
      <c r="F559" s="4"/>
      <c r="G559" s="4"/>
    </row>
    <row r="560" spans="1:7" ht="15.75" customHeight="1" x14ac:dyDescent="0.3">
      <c r="A560" s="4"/>
      <c r="B560" s="4"/>
      <c r="C560" s="4"/>
      <c r="D560" s="4"/>
      <c r="E560" s="4"/>
      <c r="F560" s="4"/>
      <c r="G560" s="4"/>
    </row>
    <row r="561" spans="1:7" ht="15.75" customHeight="1" x14ac:dyDescent="0.3">
      <c r="A561" s="4"/>
      <c r="B561" s="4"/>
      <c r="C561" s="4"/>
      <c r="D561" s="4"/>
      <c r="E561" s="4"/>
      <c r="F561" s="4"/>
      <c r="G561" s="4"/>
    </row>
    <row r="562" spans="1:7" ht="15.75" customHeight="1" x14ac:dyDescent="0.3">
      <c r="A562" s="4"/>
      <c r="B562" s="4"/>
      <c r="C562" s="4"/>
      <c r="D562" s="4"/>
      <c r="E562" s="4"/>
      <c r="F562" s="4"/>
      <c r="G562" s="4"/>
    </row>
    <row r="563" spans="1:7" ht="15.75" customHeight="1" x14ac:dyDescent="0.3">
      <c r="A563" s="4"/>
      <c r="B563" s="4"/>
      <c r="C563" s="4"/>
      <c r="D563" s="4"/>
      <c r="E563" s="4"/>
      <c r="F563" s="4"/>
      <c r="G563" s="4"/>
    </row>
    <row r="564" spans="1:7" ht="15.75" customHeight="1" x14ac:dyDescent="0.3">
      <c r="A564" s="4"/>
      <c r="B564" s="4"/>
      <c r="C564" s="4"/>
      <c r="D564" s="4"/>
      <c r="E564" s="4"/>
      <c r="F564" s="4"/>
      <c r="G564" s="4"/>
    </row>
    <row r="565" spans="1:7" ht="15.75" customHeight="1" x14ac:dyDescent="0.3">
      <c r="A565" s="4"/>
      <c r="B565" s="4"/>
      <c r="C565" s="4"/>
      <c r="D565" s="4"/>
      <c r="E565" s="4"/>
      <c r="F565" s="4"/>
      <c r="G565" s="4"/>
    </row>
    <row r="566" spans="1:7" ht="15.75" customHeight="1" x14ac:dyDescent="0.3">
      <c r="A566" s="4"/>
      <c r="B566" s="4"/>
      <c r="C566" s="4"/>
      <c r="D566" s="4"/>
      <c r="E566" s="4"/>
      <c r="F566" s="4"/>
      <c r="G566" s="4"/>
    </row>
    <row r="567" spans="1:7" ht="15.75" customHeight="1" x14ac:dyDescent="0.3">
      <c r="A567" s="4"/>
      <c r="B567" s="4"/>
      <c r="C567" s="4"/>
      <c r="D567" s="4"/>
      <c r="E567" s="4"/>
      <c r="F567" s="4"/>
      <c r="G567" s="4"/>
    </row>
    <row r="568" spans="1:7" ht="15.75" customHeight="1" x14ac:dyDescent="0.3">
      <c r="A568" s="4"/>
      <c r="B568" s="4"/>
      <c r="C568" s="4"/>
      <c r="D568" s="4"/>
      <c r="E568" s="4"/>
      <c r="F568" s="4"/>
      <c r="G568" s="4"/>
    </row>
    <row r="569" spans="1:7" ht="15.75" customHeight="1" x14ac:dyDescent="0.3">
      <c r="A569" s="4"/>
      <c r="B569" s="4"/>
      <c r="C569" s="4"/>
      <c r="D569" s="4"/>
      <c r="E569" s="4"/>
      <c r="F569" s="4"/>
      <c r="G569" s="4"/>
    </row>
    <row r="570" spans="1:7" ht="15.75" customHeight="1" x14ac:dyDescent="0.3">
      <c r="A570" s="4"/>
      <c r="B570" s="4"/>
      <c r="C570" s="4"/>
      <c r="D570" s="4"/>
      <c r="E570" s="4"/>
      <c r="F570" s="4"/>
      <c r="G570" s="4"/>
    </row>
    <row r="571" spans="1:7" ht="15.75" customHeight="1" x14ac:dyDescent="0.3">
      <c r="A571" s="4"/>
      <c r="B571" s="4"/>
      <c r="C571" s="4"/>
      <c r="D571" s="4"/>
      <c r="E571" s="4"/>
      <c r="F571" s="4"/>
      <c r="G571" s="4"/>
    </row>
    <row r="572" spans="1:7" ht="15.75" customHeight="1" x14ac:dyDescent="0.3">
      <c r="A572" s="4"/>
      <c r="B572" s="4"/>
      <c r="C572" s="4"/>
      <c r="D572" s="4"/>
      <c r="E572" s="4"/>
      <c r="F572" s="4"/>
      <c r="G572" s="4"/>
    </row>
    <row r="573" spans="1:7" ht="15.75" customHeight="1" x14ac:dyDescent="0.3">
      <c r="A573" s="4"/>
      <c r="B573" s="4"/>
      <c r="C573" s="4"/>
      <c r="D573" s="4"/>
      <c r="E573" s="4"/>
      <c r="F573" s="4"/>
      <c r="G573" s="4"/>
    </row>
    <row r="574" spans="1:7" ht="15.75" customHeight="1" x14ac:dyDescent="0.3">
      <c r="A574" s="4"/>
      <c r="B574" s="4"/>
      <c r="C574" s="4"/>
      <c r="D574" s="4"/>
      <c r="E574" s="4"/>
      <c r="F574" s="4"/>
      <c r="G574" s="4"/>
    </row>
    <row r="575" spans="1:7" ht="15.75" customHeight="1" x14ac:dyDescent="0.3">
      <c r="A575" s="4"/>
      <c r="B575" s="4"/>
      <c r="C575" s="4"/>
      <c r="D575" s="4"/>
      <c r="E575" s="4"/>
      <c r="F575" s="4"/>
      <c r="G575" s="4"/>
    </row>
    <row r="576" spans="1:7" ht="15.75" customHeight="1" x14ac:dyDescent="0.3">
      <c r="A576" s="4"/>
      <c r="B576" s="4"/>
      <c r="C576" s="4"/>
      <c r="D576" s="4"/>
      <c r="E576" s="4"/>
      <c r="F576" s="4"/>
      <c r="G576" s="4"/>
    </row>
    <row r="577" spans="1:7" ht="15.75" customHeight="1" x14ac:dyDescent="0.3">
      <c r="A577" s="4"/>
      <c r="B577" s="4"/>
      <c r="C577" s="4"/>
      <c r="D577" s="4"/>
      <c r="E577" s="4"/>
      <c r="F577" s="4"/>
      <c r="G577" s="4"/>
    </row>
    <row r="578" spans="1:7" ht="15.75" customHeight="1" x14ac:dyDescent="0.3">
      <c r="A578" s="4"/>
      <c r="B578" s="4"/>
      <c r="C578" s="4"/>
      <c r="D578" s="4"/>
      <c r="E578" s="4"/>
      <c r="F578" s="4"/>
      <c r="G578" s="4"/>
    </row>
    <row r="579" spans="1:7" ht="15.75" customHeight="1" x14ac:dyDescent="0.3">
      <c r="A579" s="4"/>
      <c r="B579" s="4"/>
      <c r="C579" s="4"/>
      <c r="D579" s="4"/>
      <c r="E579" s="4"/>
      <c r="F579" s="4"/>
      <c r="G579" s="4"/>
    </row>
    <row r="580" spans="1:7" ht="15.75" customHeight="1" x14ac:dyDescent="0.3">
      <c r="A580" s="4"/>
      <c r="B580" s="4"/>
      <c r="C580" s="4"/>
      <c r="D580" s="4"/>
      <c r="E580" s="4"/>
      <c r="F580" s="4"/>
      <c r="G580" s="4"/>
    </row>
    <row r="581" spans="1:7" ht="15.75" customHeight="1" x14ac:dyDescent="0.3">
      <c r="A581" s="4"/>
      <c r="B581" s="4"/>
      <c r="C581" s="4"/>
      <c r="D581" s="4"/>
      <c r="E581" s="4"/>
      <c r="F581" s="4"/>
      <c r="G581" s="4"/>
    </row>
    <row r="582" spans="1:7" ht="15.75" customHeight="1" x14ac:dyDescent="0.3">
      <c r="A582" s="4"/>
      <c r="B582" s="4"/>
      <c r="C582" s="4"/>
      <c r="D582" s="4"/>
      <c r="E582" s="4"/>
      <c r="F582" s="4"/>
      <c r="G582" s="4"/>
    </row>
    <row r="583" spans="1:7" ht="15.75" customHeight="1" x14ac:dyDescent="0.3">
      <c r="A583" s="4"/>
      <c r="B583" s="4"/>
      <c r="C583" s="4"/>
      <c r="D583" s="4"/>
      <c r="E583" s="4"/>
      <c r="F583" s="4"/>
      <c r="G583" s="4"/>
    </row>
    <row r="584" spans="1:7" ht="15.75" customHeight="1" x14ac:dyDescent="0.3">
      <c r="A584" s="4"/>
      <c r="B584" s="4"/>
      <c r="C584" s="4"/>
      <c r="D584" s="4"/>
      <c r="E584" s="4"/>
      <c r="F584" s="4"/>
      <c r="G584" s="4"/>
    </row>
    <row r="585" spans="1:7" ht="15.75" customHeight="1" x14ac:dyDescent="0.3">
      <c r="A585" s="4"/>
      <c r="B585" s="4"/>
      <c r="C585" s="4"/>
      <c r="D585" s="4"/>
      <c r="E585" s="4"/>
      <c r="F585" s="4"/>
      <c r="G585" s="4"/>
    </row>
    <row r="586" spans="1:7" ht="15.75" customHeight="1" x14ac:dyDescent="0.3">
      <c r="A586" s="4"/>
      <c r="B586" s="4"/>
      <c r="C586" s="4"/>
      <c r="D586" s="4"/>
      <c r="E586" s="4"/>
      <c r="F586" s="4"/>
      <c r="G586" s="4"/>
    </row>
    <row r="587" spans="1:7" ht="15.75" customHeight="1" x14ac:dyDescent="0.3">
      <c r="A587" s="4"/>
      <c r="B587" s="4"/>
      <c r="C587" s="4"/>
      <c r="D587" s="4"/>
      <c r="E587" s="4"/>
      <c r="F587" s="4"/>
      <c r="G587" s="4"/>
    </row>
    <row r="588" spans="1:7" ht="15.75" customHeight="1" x14ac:dyDescent="0.3">
      <c r="A588" s="4"/>
      <c r="B588" s="4"/>
      <c r="C588" s="4"/>
      <c r="D588" s="4"/>
      <c r="E588" s="4"/>
      <c r="F588" s="4"/>
      <c r="G588" s="4"/>
    </row>
    <row r="589" spans="1:7" ht="15.75" customHeight="1" x14ac:dyDescent="0.3">
      <c r="A589" s="4"/>
      <c r="B589" s="4"/>
      <c r="C589" s="4"/>
      <c r="D589" s="4"/>
      <c r="E589" s="4"/>
      <c r="F589" s="4"/>
      <c r="G589" s="4"/>
    </row>
    <row r="590" spans="1:7" ht="15.75" customHeight="1" x14ac:dyDescent="0.3">
      <c r="A590" s="4"/>
      <c r="B590" s="4"/>
      <c r="C590" s="4"/>
      <c r="D590" s="4"/>
      <c r="E590" s="4"/>
      <c r="F590" s="4"/>
      <c r="G590" s="4"/>
    </row>
    <row r="591" spans="1:7" ht="15.75" customHeight="1" x14ac:dyDescent="0.3">
      <c r="A591" s="4"/>
      <c r="B591" s="4"/>
      <c r="C591" s="4"/>
      <c r="D591" s="4"/>
      <c r="E591" s="4"/>
      <c r="F591" s="4"/>
      <c r="G591" s="4"/>
    </row>
    <row r="592" spans="1:7" ht="15.75" customHeight="1" x14ac:dyDescent="0.3">
      <c r="A592" s="4"/>
      <c r="B592" s="4"/>
      <c r="C592" s="4"/>
      <c r="D592" s="4"/>
      <c r="E592" s="4"/>
      <c r="F592" s="4"/>
      <c r="G592" s="4"/>
    </row>
    <row r="593" spans="1:7" ht="15.75" customHeight="1" x14ac:dyDescent="0.3">
      <c r="A593" s="4"/>
      <c r="B593" s="4"/>
      <c r="C593" s="4"/>
      <c r="D593" s="4"/>
      <c r="E593" s="4"/>
      <c r="F593" s="4"/>
      <c r="G593" s="4"/>
    </row>
    <row r="594" spans="1:7" ht="15.75" customHeight="1" x14ac:dyDescent="0.3">
      <c r="A594" s="4"/>
      <c r="B594" s="4"/>
      <c r="C594" s="4"/>
      <c r="D594" s="4"/>
      <c r="E594" s="4"/>
      <c r="F594" s="4"/>
      <c r="G594" s="4"/>
    </row>
    <row r="595" spans="1:7" ht="15.75" customHeight="1" x14ac:dyDescent="0.3">
      <c r="A595" s="4"/>
      <c r="B595" s="4"/>
      <c r="C595" s="4"/>
      <c r="D595" s="4"/>
      <c r="E595" s="4"/>
      <c r="F595" s="4"/>
      <c r="G595" s="4"/>
    </row>
    <row r="596" spans="1:7" ht="15.75" customHeight="1" x14ac:dyDescent="0.3">
      <c r="A596" s="4"/>
      <c r="B596" s="4"/>
      <c r="C596" s="4"/>
      <c r="D596" s="4"/>
      <c r="E596" s="4"/>
      <c r="F596" s="4"/>
      <c r="G596" s="4"/>
    </row>
    <row r="597" spans="1:7" ht="15.75" customHeight="1" x14ac:dyDescent="0.3">
      <c r="A597" s="4"/>
      <c r="B597" s="4"/>
      <c r="C597" s="4"/>
      <c r="D597" s="4"/>
      <c r="E597" s="4"/>
      <c r="F597" s="4"/>
      <c r="G597" s="4"/>
    </row>
    <row r="598" spans="1:7" ht="15.75" customHeight="1" x14ac:dyDescent="0.3">
      <c r="A598" s="4"/>
      <c r="B598" s="4"/>
      <c r="C598" s="4"/>
      <c r="D598" s="4"/>
      <c r="E598" s="4"/>
      <c r="F598" s="4"/>
      <c r="G598" s="4"/>
    </row>
    <row r="599" spans="1:7" ht="15.75" customHeight="1" x14ac:dyDescent="0.3">
      <c r="A599" s="4"/>
      <c r="B599" s="4"/>
      <c r="C599" s="4"/>
      <c r="D599" s="4"/>
      <c r="E599" s="4"/>
      <c r="F599" s="4"/>
      <c r="G599" s="4"/>
    </row>
    <row r="600" spans="1:7" ht="15.75" customHeight="1" x14ac:dyDescent="0.3">
      <c r="A600" s="4"/>
      <c r="B600" s="4"/>
      <c r="C600" s="4"/>
      <c r="D600" s="4"/>
      <c r="E600" s="4"/>
      <c r="F600" s="4"/>
      <c r="G600" s="4"/>
    </row>
    <row r="601" spans="1:7" ht="15.75" customHeight="1" x14ac:dyDescent="0.3">
      <c r="A601" s="4"/>
      <c r="B601" s="4"/>
      <c r="C601" s="4"/>
      <c r="D601" s="4"/>
      <c r="E601" s="4"/>
      <c r="F601" s="4"/>
      <c r="G601" s="4"/>
    </row>
    <row r="602" spans="1:7" ht="15.75" customHeight="1" x14ac:dyDescent="0.3">
      <c r="A602" s="4"/>
      <c r="B602" s="4"/>
      <c r="C602" s="4"/>
      <c r="D602" s="4"/>
      <c r="E602" s="4"/>
      <c r="F602" s="4"/>
      <c r="G602" s="4"/>
    </row>
    <row r="603" spans="1:7" ht="15.75" customHeight="1" x14ac:dyDescent="0.3">
      <c r="A603" s="4"/>
      <c r="B603" s="4"/>
      <c r="C603" s="4"/>
      <c r="D603" s="4"/>
      <c r="E603" s="4"/>
      <c r="F603" s="4"/>
      <c r="G603" s="4"/>
    </row>
    <row r="604" spans="1:7" ht="15.75" customHeight="1" x14ac:dyDescent="0.3">
      <c r="A604" s="4"/>
      <c r="B604" s="4"/>
      <c r="C604" s="4"/>
      <c r="D604" s="4"/>
      <c r="E604" s="4"/>
      <c r="F604" s="4"/>
      <c r="G604" s="4"/>
    </row>
    <row r="605" spans="1:7" ht="15.75" customHeight="1" x14ac:dyDescent="0.3">
      <c r="A605" s="4"/>
      <c r="B605" s="4"/>
      <c r="C605" s="4"/>
      <c r="D605" s="4"/>
      <c r="E605" s="4"/>
      <c r="F605" s="4"/>
      <c r="G605" s="4"/>
    </row>
    <row r="606" spans="1:7" ht="15.75" customHeight="1" x14ac:dyDescent="0.3">
      <c r="A606" s="4"/>
      <c r="B606" s="4"/>
      <c r="C606" s="4"/>
      <c r="D606" s="4"/>
      <c r="E606" s="4"/>
      <c r="F606" s="4"/>
      <c r="G606" s="4"/>
    </row>
    <row r="607" spans="1:7" ht="15.75" customHeight="1" x14ac:dyDescent="0.3">
      <c r="A607" s="4"/>
      <c r="B607" s="4"/>
      <c r="C607" s="4"/>
      <c r="D607" s="4"/>
      <c r="E607" s="4"/>
      <c r="F607" s="4"/>
      <c r="G607" s="4"/>
    </row>
    <row r="608" spans="1:7" ht="15.75" customHeight="1" x14ac:dyDescent="0.3">
      <c r="A608" s="4"/>
      <c r="B608" s="4"/>
      <c r="C608" s="4"/>
      <c r="D608" s="4"/>
      <c r="E608" s="4"/>
      <c r="F608" s="4"/>
      <c r="G608" s="4"/>
    </row>
    <row r="609" spans="1:7" ht="15.75" customHeight="1" x14ac:dyDescent="0.3">
      <c r="A609" s="4"/>
      <c r="B609" s="4"/>
      <c r="C609" s="4"/>
      <c r="D609" s="4"/>
      <c r="E609" s="4"/>
      <c r="F609" s="4"/>
      <c r="G609" s="4"/>
    </row>
    <row r="610" spans="1:7" ht="15.75" customHeight="1" x14ac:dyDescent="0.3">
      <c r="A610" s="4"/>
      <c r="B610" s="4"/>
      <c r="C610" s="4"/>
      <c r="D610" s="4"/>
      <c r="E610" s="4"/>
      <c r="F610" s="4"/>
      <c r="G610" s="4"/>
    </row>
    <row r="611" spans="1:7" ht="15.75" customHeight="1" x14ac:dyDescent="0.3">
      <c r="A611" s="4"/>
      <c r="B611" s="4"/>
      <c r="C611" s="4"/>
      <c r="D611" s="4"/>
      <c r="E611" s="4"/>
      <c r="F611" s="4"/>
      <c r="G611" s="4"/>
    </row>
    <row r="612" spans="1:7" ht="15.75" customHeight="1" x14ac:dyDescent="0.3">
      <c r="A612" s="4"/>
      <c r="B612" s="4"/>
      <c r="C612" s="4"/>
      <c r="D612" s="4"/>
      <c r="E612" s="4"/>
      <c r="F612" s="4"/>
      <c r="G612" s="4"/>
    </row>
    <row r="613" spans="1:7" ht="15.75" customHeight="1" x14ac:dyDescent="0.3">
      <c r="A613" s="4"/>
      <c r="B613" s="4"/>
      <c r="C613" s="4"/>
      <c r="D613" s="4"/>
      <c r="E613" s="4"/>
      <c r="F613" s="4"/>
      <c r="G613" s="4"/>
    </row>
    <row r="614" spans="1:7" ht="15.75" customHeight="1" x14ac:dyDescent="0.3">
      <c r="A614" s="4"/>
      <c r="B614" s="4"/>
      <c r="C614" s="4"/>
      <c r="D614" s="4"/>
      <c r="E614" s="4"/>
      <c r="F614" s="4"/>
      <c r="G614" s="4"/>
    </row>
    <row r="615" spans="1:7" ht="15.75" customHeight="1" x14ac:dyDescent="0.3">
      <c r="A615" s="4"/>
      <c r="B615" s="4"/>
      <c r="C615" s="4"/>
      <c r="D615" s="4"/>
      <c r="E615" s="4"/>
      <c r="F615" s="4"/>
      <c r="G615" s="4"/>
    </row>
    <row r="616" spans="1:7" ht="15.75" customHeight="1" x14ac:dyDescent="0.3">
      <c r="A616" s="4"/>
      <c r="B616" s="4"/>
      <c r="C616" s="4"/>
      <c r="D616" s="4"/>
      <c r="E616" s="4"/>
      <c r="F616" s="4"/>
      <c r="G616" s="4"/>
    </row>
    <row r="617" spans="1:7" ht="15.75" customHeight="1" x14ac:dyDescent="0.3">
      <c r="A617" s="4"/>
      <c r="B617" s="4"/>
      <c r="C617" s="4"/>
      <c r="D617" s="4"/>
      <c r="E617" s="4"/>
      <c r="F617" s="4"/>
      <c r="G617" s="4"/>
    </row>
    <row r="618" spans="1:7" ht="15.75" customHeight="1" x14ac:dyDescent="0.3">
      <c r="A618" s="4"/>
      <c r="B618" s="4"/>
      <c r="C618" s="4"/>
      <c r="D618" s="4"/>
      <c r="E618" s="4"/>
      <c r="F618" s="4"/>
      <c r="G618" s="4"/>
    </row>
    <row r="619" spans="1:7" ht="15.75" customHeight="1" x14ac:dyDescent="0.3">
      <c r="A619" s="4"/>
      <c r="B619" s="4"/>
      <c r="C619" s="4"/>
      <c r="D619" s="4"/>
      <c r="E619" s="4"/>
      <c r="F619" s="4"/>
      <c r="G619" s="4"/>
    </row>
    <row r="620" spans="1:7" ht="15.75" customHeight="1" x14ac:dyDescent="0.3">
      <c r="A620" s="4"/>
      <c r="B620" s="4"/>
      <c r="C620" s="4"/>
      <c r="D620" s="4"/>
      <c r="E620" s="4"/>
      <c r="F620" s="4"/>
      <c r="G620" s="4"/>
    </row>
    <row r="621" spans="1:7" ht="15.75" customHeight="1" x14ac:dyDescent="0.3">
      <c r="A621" s="4"/>
      <c r="B621" s="4"/>
      <c r="C621" s="4"/>
      <c r="D621" s="4"/>
      <c r="E621" s="4"/>
      <c r="F621" s="4"/>
      <c r="G621" s="4"/>
    </row>
    <row r="622" spans="1:7" ht="15.75" customHeight="1" x14ac:dyDescent="0.3">
      <c r="A622" s="4"/>
      <c r="B622" s="4"/>
      <c r="C622" s="4"/>
      <c r="D622" s="4"/>
      <c r="E622" s="4"/>
      <c r="F622" s="4"/>
      <c r="G622" s="4"/>
    </row>
    <row r="623" spans="1:7" ht="15.75" customHeight="1" x14ac:dyDescent="0.3">
      <c r="A623" s="4"/>
      <c r="B623" s="4"/>
      <c r="C623" s="4"/>
      <c r="D623" s="4"/>
      <c r="E623" s="4"/>
      <c r="F623" s="4"/>
      <c r="G623" s="4"/>
    </row>
    <row r="624" spans="1:7" ht="15.75" customHeight="1" x14ac:dyDescent="0.3">
      <c r="A624" s="4"/>
      <c r="B624" s="4"/>
      <c r="C624" s="4"/>
      <c r="D624" s="4"/>
      <c r="E624" s="4"/>
      <c r="F624" s="4"/>
      <c r="G624" s="4"/>
    </row>
    <row r="625" spans="1:7" ht="15.75" customHeight="1" x14ac:dyDescent="0.3">
      <c r="A625" s="4"/>
      <c r="B625" s="4"/>
      <c r="C625" s="4"/>
      <c r="D625" s="4"/>
      <c r="E625" s="4"/>
      <c r="F625" s="4"/>
      <c r="G625" s="4"/>
    </row>
    <row r="626" spans="1:7" ht="15.75" customHeight="1" x14ac:dyDescent="0.3">
      <c r="A626" s="4"/>
      <c r="B626" s="4"/>
      <c r="C626" s="4"/>
      <c r="D626" s="4"/>
      <c r="E626" s="4"/>
      <c r="F626" s="4"/>
      <c r="G626" s="4"/>
    </row>
    <row r="627" spans="1:7" ht="15.75" customHeight="1" x14ac:dyDescent="0.3">
      <c r="A627" s="4"/>
      <c r="B627" s="4"/>
      <c r="C627" s="4"/>
      <c r="D627" s="4"/>
      <c r="E627" s="4"/>
      <c r="F627" s="4"/>
      <c r="G627" s="4"/>
    </row>
    <row r="628" spans="1:7" ht="15.75" customHeight="1" x14ac:dyDescent="0.3">
      <c r="A628" s="4"/>
      <c r="B628" s="4"/>
      <c r="C628" s="4"/>
      <c r="D628" s="4"/>
      <c r="E628" s="4"/>
      <c r="F628" s="4"/>
      <c r="G628" s="4"/>
    </row>
    <row r="629" spans="1:7" ht="15.75" customHeight="1" x14ac:dyDescent="0.3">
      <c r="A629" s="4"/>
      <c r="B629" s="4"/>
      <c r="C629" s="4"/>
      <c r="D629" s="4"/>
      <c r="E629" s="4"/>
      <c r="F629" s="4"/>
      <c r="G629" s="4"/>
    </row>
    <row r="630" spans="1:7" ht="15.75" customHeight="1" x14ac:dyDescent="0.3">
      <c r="A630" s="4"/>
      <c r="B630" s="4"/>
      <c r="C630" s="4"/>
      <c r="D630" s="4"/>
      <c r="E630" s="4"/>
      <c r="F630" s="4"/>
      <c r="G630" s="4"/>
    </row>
    <row r="631" spans="1:7" ht="15.75" customHeight="1" x14ac:dyDescent="0.3">
      <c r="A631" s="4"/>
      <c r="B631" s="4"/>
      <c r="C631" s="4"/>
      <c r="D631" s="4"/>
      <c r="E631" s="4"/>
      <c r="F631" s="4"/>
      <c r="G631" s="4"/>
    </row>
    <row r="632" spans="1:7" ht="15.75" customHeight="1" x14ac:dyDescent="0.3">
      <c r="A632" s="4"/>
      <c r="B632" s="4"/>
      <c r="C632" s="4"/>
      <c r="D632" s="4"/>
      <c r="E632" s="4"/>
      <c r="F632" s="4"/>
      <c r="G632" s="4"/>
    </row>
    <row r="633" spans="1:7" ht="15.75" customHeight="1" x14ac:dyDescent="0.3">
      <c r="A633" s="4"/>
      <c r="B633" s="4"/>
      <c r="C633" s="4"/>
      <c r="D633" s="4"/>
      <c r="E633" s="4"/>
      <c r="F633" s="4"/>
      <c r="G633" s="4"/>
    </row>
    <row r="634" spans="1:7" ht="15.75" customHeight="1" x14ac:dyDescent="0.3">
      <c r="A634" s="4"/>
      <c r="B634" s="4"/>
      <c r="C634" s="4"/>
      <c r="D634" s="4"/>
      <c r="E634" s="4"/>
      <c r="F634" s="4"/>
      <c r="G634" s="4"/>
    </row>
    <row r="635" spans="1:7" ht="15.75" customHeight="1" x14ac:dyDescent="0.3">
      <c r="A635" s="4"/>
      <c r="B635" s="4"/>
      <c r="C635" s="4"/>
      <c r="D635" s="4"/>
      <c r="E635" s="4"/>
      <c r="F635" s="4"/>
      <c r="G635" s="4"/>
    </row>
    <row r="636" spans="1:7" ht="15.75" customHeight="1" x14ac:dyDescent="0.3">
      <c r="A636" s="4"/>
      <c r="B636" s="4"/>
      <c r="C636" s="4"/>
      <c r="D636" s="4"/>
      <c r="E636" s="4"/>
      <c r="F636" s="4"/>
      <c r="G636" s="4"/>
    </row>
    <row r="637" spans="1:7" ht="15.75" customHeight="1" x14ac:dyDescent="0.3">
      <c r="A637" s="4"/>
      <c r="B637" s="4"/>
      <c r="C637" s="4"/>
      <c r="D637" s="4"/>
      <c r="E637" s="4"/>
      <c r="F637" s="4"/>
      <c r="G637" s="4"/>
    </row>
    <row r="638" spans="1:7" ht="15.75" customHeight="1" x14ac:dyDescent="0.3">
      <c r="A638" s="4"/>
      <c r="B638" s="4"/>
      <c r="C638" s="4"/>
      <c r="D638" s="4"/>
      <c r="E638" s="4"/>
      <c r="F638" s="4"/>
      <c r="G638" s="4"/>
    </row>
    <row r="639" spans="1:7" ht="15.75" customHeight="1" x14ac:dyDescent="0.3">
      <c r="A639" s="4"/>
      <c r="B639" s="4"/>
      <c r="C639" s="4"/>
      <c r="D639" s="4"/>
      <c r="E639" s="4"/>
      <c r="F639" s="4"/>
      <c r="G639" s="4"/>
    </row>
    <row r="640" spans="1:7" ht="15.75" customHeight="1" x14ac:dyDescent="0.3">
      <c r="A640" s="4"/>
      <c r="B640" s="4"/>
      <c r="C640" s="4"/>
      <c r="D640" s="4"/>
      <c r="E640" s="4"/>
      <c r="F640" s="4"/>
      <c r="G640" s="4"/>
    </row>
    <row r="641" spans="1:7" ht="15.75" customHeight="1" x14ac:dyDescent="0.3">
      <c r="A641" s="4"/>
      <c r="B641" s="4"/>
      <c r="C641" s="4"/>
      <c r="D641" s="4"/>
      <c r="E641" s="4"/>
      <c r="F641" s="4"/>
      <c r="G641" s="4"/>
    </row>
    <row r="642" spans="1:7" ht="15.75" customHeight="1" x14ac:dyDescent="0.3">
      <c r="A642" s="4"/>
      <c r="B642" s="4"/>
      <c r="C642" s="4"/>
      <c r="D642" s="4"/>
      <c r="E642" s="4"/>
      <c r="F642" s="4"/>
      <c r="G642" s="4"/>
    </row>
    <row r="643" spans="1:7" ht="15.75" customHeight="1" x14ac:dyDescent="0.3">
      <c r="A643" s="4"/>
      <c r="B643" s="4"/>
      <c r="C643" s="4"/>
      <c r="D643" s="4"/>
      <c r="E643" s="4"/>
      <c r="F643" s="4"/>
      <c r="G643" s="4"/>
    </row>
    <row r="644" spans="1:7" ht="15.75" customHeight="1" x14ac:dyDescent="0.3">
      <c r="A644" s="4"/>
      <c r="B644" s="4"/>
      <c r="C644" s="4"/>
      <c r="D644" s="4"/>
      <c r="E644" s="4"/>
      <c r="F644" s="4"/>
      <c r="G644" s="4"/>
    </row>
    <row r="645" spans="1:7" ht="15.75" customHeight="1" x14ac:dyDescent="0.3">
      <c r="A645" s="4"/>
      <c r="B645" s="4"/>
      <c r="C645" s="4"/>
      <c r="D645" s="4"/>
      <c r="E645" s="4"/>
      <c r="F645" s="4"/>
      <c r="G645" s="4"/>
    </row>
    <row r="646" spans="1:7" ht="15.75" customHeight="1" x14ac:dyDescent="0.3">
      <c r="A646" s="4"/>
      <c r="B646" s="4"/>
      <c r="C646" s="4"/>
      <c r="D646" s="4"/>
      <c r="E646" s="4"/>
      <c r="F646" s="4"/>
      <c r="G646" s="4"/>
    </row>
    <row r="647" spans="1:7" ht="15.75" customHeight="1" x14ac:dyDescent="0.3">
      <c r="A647" s="4"/>
      <c r="B647" s="4"/>
      <c r="C647" s="4"/>
      <c r="D647" s="4"/>
      <c r="E647" s="4"/>
      <c r="F647" s="4"/>
      <c r="G647" s="4"/>
    </row>
    <row r="648" spans="1:7" ht="15.75" customHeight="1" x14ac:dyDescent="0.3">
      <c r="A648" s="4"/>
      <c r="B648" s="4"/>
      <c r="C648" s="4"/>
      <c r="D648" s="4"/>
      <c r="E648" s="4"/>
      <c r="F648" s="4"/>
      <c r="G648" s="4"/>
    </row>
    <row r="649" spans="1:7" ht="15.75" customHeight="1" x14ac:dyDescent="0.3">
      <c r="A649" s="4"/>
      <c r="B649" s="4"/>
      <c r="C649" s="4"/>
      <c r="D649" s="4"/>
      <c r="E649" s="4"/>
      <c r="F649" s="4"/>
      <c r="G649" s="4"/>
    </row>
    <row r="650" spans="1:7" ht="15.75" customHeight="1" x14ac:dyDescent="0.3">
      <c r="A650" s="4"/>
      <c r="B650" s="4"/>
      <c r="C650" s="4"/>
      <c r="D650" s="4"/>
      <c r="E650" s="4"/>
      <c r="F650" s="4"/>
      <c r="G650" s="4"/>
    </row>
    <row r="651" spans="1:7" ht="15.75" customHeight="1" x14ac:dyDescent="0.3">
      <c r="A651" s="4"/>
      <c r="B651" s="4"/>
      <c r="C651" s="4"/>
      <c r="D651" s="4"/>
      <c r="E651" s="4"/>
      <c r="F651" s="4"/>
      <c r="G651" s="4"/>
    </row>
    <row r="652" spans="1:7" ht="15.75" customHeight="1" x14ac:dyDescent="0.3">
      <c r="A652" s="4"/>
      <c r="B652" s="4"/>
      <c r="C652" s="4"/>
      <c r="D652" s="4"/>
      <c r="E652" s="4"/>
      <c r="F652" s="4"/>
      <c r="G652" s="4"/>
    </row>
    <row r="653" spans="1:7" ht="15.75" customHeight="1" x14ac:dyDescent="0.3">
      <c r="A653" s="4"/>
      <c r="B653" s="4"/>
      <c r="C653" s="4"/>
      <c r="D653" s="4"/>
      <c r="E653" s="4"/>
      <c r="F653" s="4"/>
      <c r="G653" s="4"/>
    </row>
    <row r="654" spans="1:7" ht="15.75" customHeight="1" x14ac:dyDescent="0.3">
      <c r="A654" s="4"/>
      <c r="B654" s="4"/>
      <c r="C654" s="4"/>
      <c r="D654" s="4"/>
      <c r="E654" s="4"/>
      <c r="F654" s="4"/>
      <c r="G654" s="4"/>
    </row>
    <row r="655" spans="1:7" ht="15.75" customHeight="1" x14ac:dyDescent="0.3">
      <c r="A655" s="4"/>
      <c r="B655" s="4"/>
      <c r="C655" s="4"/>
      <c r="D655" s="4"/>
      <c r="E655" s="4"/>
      <c r="F655" s="4"/>
      <c r="G655" s="4"/>
    </row>
    <row r="656" spans="1:7" ht="15.75" customHeight="1" x14ac:dyDescent="0.3">
      <c r="A656" s="4"/>
      <c r="B656" s="4"/>
      <c r="C656" s="4"/>
      <c r="D656" s="4"/>
      <c r="E656" s="4"/>
      <c r="F656" s="4"/>
      <c r="G656" s="4"/>
    </row>
    <row r="657" spans="1:7" ht="15.75" customHeight="1" x14ac:dyDescent="0.3">
      <c r="A657" s="4"/>
      <c r="B657" s="4"/>
      <c r="C657" s="4"/>
      <c r="D657" s="4"/>
      <c r="E657" s="4"/>
      <c r="F657" s="4"/>
      <c r="G657" s="4"/>
    </row>
    <row r="658" spans="1:7" ht="15.75" customHeight="1" x14ac:dyDescent="0.3">
      <c r="A658" s="4"/>
      <c r="B658" s="4"/>
      <c r="C658" s="4"/>
      <c r="D658" s="4"/>
      <c r="E658" s="4"/>
      <c r="F658" s="4"/>
      <c r="G658" s="4"/>
    </row>
    <row r="659" spans="1:7" ht="15.75" customHeight="1" x14ac:dyDescent="0.3">
      <c r="A659" s="4"/>
      <c r="B659" s="4"/>
      <c r="C659" s="4"/>
      <c r="D659" s="4"/>
      <c r="E659" s="4"/>
      <c r="F659" s="4"/>
      <c r="G659" s="4"/>
    </row>
    <row r="660" spans="1:7" ht="15.75" customHeight="1" x14ac:dyDescent="0.3">
      <c r="A660" s="4"/>
      <c r="B660" s="4"/>
      <c r="C660" s="4"/>
      <c r="D660" s="4"/>
      <c r="E660" s="4"/>
      <c r="F660" s="4"/>
      <c r="G660" s="4"/>
    </row>
    <row r="661" spans="1:7" ht="15.75" customHeight="1" x14ac:dyDescent="0.3">
      <c r="A661" s="4"/>
      <c r="B661" s="4"/>
      <c r="C661" s="4"/>
      <c r="D661" s="4"/>
      <c r="E661" s="4"/>
      <c r="F661" s="4"/>
      <c r="G661" s="4"/>
    </row>
    <row r="662" spans="1:7" ht="15.75" customHeight="1" x14ac:dyDescent="0.3">
      <c r="A662" s="4"/>
      <c r="B662" s="4"/>
      <c r="C662" s="4"/>
      <c r="D662" s="4"/>
      <c r="E662" s="4"/>
      <c r="F662" s="4"/>
      <c r="G662" s="4"/>
    </row>
    <row r="663" spans="1:7" ht="15.75" customHeight="1" x14ac:dyDescent="0.3">
      <c r="A663" s="4"/>
      <c r="B663" s="4"/>
      <c r="C663" s="4"/>
      <c r="D663" s="4"/>
      <c r="E663" s="4"/>
      <c r="F663" s="4"/>
      <c r="G663" s="4"/>
    </row>
    <row r="664" spans="1:7" ht="15.75" customHeight="1" x14ac:dyDescent="0.3">
      <c r="A664" s="4"/>
      <c r="B664" s="4"/>
      <c r="C664" s="4"/>
      <c r="D664" s="4"/>
      <c r="E664" s="4"/>
      <c r="F664" s="4"/>
      <c r="G664" s="4"/>
    </row>
    <row r="665" spans="1:7" ht="15.75" customHeight="1" x14ac:dyDescent="0.3">
      <c r="A665" s="4"/>
      <c r="B665" s="4"/>
      <c r="C665" s="4"/>
      <c r="D665" s="4"/>
      <c r="E665" s="4"/>
      <c r="F665" s="4"/>
      <c r="G665" s="4"/>
    </row>
    <row r="666" spans="1:7" ht="15.75" customHeight="1" x14ac:dyDescent="0.3">
      <c r="A666" s="4"/>
      <c r="B666" s="4"/>
      <c r="C666" s="4"/>
      <c r="D666" s="4"/>
      <c r="E666" s="4"/>
      <c r="F666" s="4"/>
      <c r="G666" s="4"/>
    </row>
    <row r="667" spans="1:7" ht="15.75" customHeight="1" x14ac:dyDescent="0.3">
      <c r="A667" s="4"/>
      <c r="B667" s="4"/>
      <c r="C667" s="4"/>
      <c r="D667" s="4"/>
      <c r="E667" s="4"/>
      <c r="F667" s="4"/>
      <c r="G667" s="4"/>
    </row>
    <row r="668" spans="1:7" ht="15.75" customHeight="1" x14ac:dyDescent="0.3">
      <c r="A668" s="4"/>
      <c r="B668" s="4"/>
      <c r="C668" s="4"/>
      <c r="D668" s="4"/>
      <c r="E668" s="4"/>
      <c r="F668" s="4"/>
      <c r="G668" s="4"/>
    </row>
    <row r="669" spans="1:7" ht="15.75" customHeight="1" x14ac:dyDescent="0.3">
      <c r="A669" s="4"/>
      <c r="B669" s="4"/>
      <c r="C669" s="4"/>
      <c r="D669" s="4"/>
      <c r="E669" s="4"/>
      <c r="F669" s="4"/>
      <c r="G669" s="4"/>
    </row>
    <row r="670" spans="1:7" ht="15.75" customHeight="1" x14ac:dyDescent="0.3">
      <c r="A670" s="4"/>
      <c r="B670" s="4"/>
      <c r="C670" s="4"/>
      <c r="D670" s="4"/>
      <c r="E670" s="4"/>
      <c r="F670" s="4"/>
      <c r="G670" s="4"/>
    </row>
    <row r="671" spans="1:7" ht="15.75" customHeight="1" x14ac:dyDescent="0.3">
      <c r="A671" s="4"/>
      <c r="B671" s="4"/>
      <c r="C671" s="4"/>
      <c r="D671" s="4"/>
      <c r="E671" s="4"/>
      <c r="F671" s="4"/>
      <c r="G671" s="4"/>
    </row>
    <row r="672" spans="1:7" ht="15.75" customHeight="1" x14ac:dyDescent="0.3">
      <c r="A672" s="4"/>
      <c r="B672" s="4"/>
      <c r="C672" s="4"/>
      <c r="D672" s="4"/>
      <c r="E672" s="4"/>
      <c r="F672" s="4"/>
      <c r="G672" s="4"/>
    </row>
    <row r="673" spans="1:7" ht="15.75" customHeight="1" x14ac:dyDescent="0.3">
      <c r="A673" s="4"/>
      <c r="B673" s="4"/>
      <c r="C673" s="4"/>
      <c r="D673" s="4"/>
      <c r="E673" s="4"/>
      <c r="F673" s="4"/>
      <c r="G673" s="4"/>
    </row>
    <row r="674" spans="1:7" ht="15.75" customHeight="1" x14ac:dyDescent="0.3">
      <c r="A674" s="4"/>
      <c r="B674" s="4"/>
      <c r="C674" s="4"/>
      <c r="D674" s="4"/>
      <c r="E674" s="4"/>
      <c r="F674" s="4"/>
      <c r="G674" s="4"/>
    </row>
    <row r="675" spans="1:7" ht="15.75" customHeight="1" x14ac:dyDescent="0.3">
      <c r="A675" s="4"/>
      <c r="B675" s="4"/>
      <c r="C675" s="4"/>
      <c r="D675" s="4"/>
      <c r="E675" s="4"/>
      <c r="F675" s="4"/>
      <c r="G675" s="4"/>
    </row>
    <row r="676" spans="1:7" ht="15.75" customHeight="1" x14ac:dyDescent="0.3">
      <c r="A676" s="4"/>
      <c r="B676" s="4"/>
      <c r="C676" s="4"/>
      <c r="D676" s="4"/>
      <c r="E676" s="4"/>
      <c r="F676" s="4"/>
      <c r="G676" s="4"/>
    </row>
    <row r="677" spans="1:7" ht="15.75" customHeight="1" x14ac:dyDescent="0.3">
      <c r="A677" s="4"/>
      <c r="B677" s="4"/>
      <c r="C677" s="4"/>
      <c r="D677" s="4"/>
      <c r="E677" s="4"/>
      <c r="F677" s="4"/>
      <c r="G677" s="4"/>
    </row>
    <row r="678" spans="1:7" ht="15.75" customHeight="1" x14ac:dyDescent="0.3">
      <c r="A678" s="4"/>
      <c r="B678" s="4"/>
      <c r="C678" s="4"/>
      <c r="D678" s="4"/>
      <c r="E678" s="4"/>
      <c r="F678" s="4"/>
      <c r="G678" s="4"/>
    </row>
    <row r="679" spans="1:7" ht="15.75" customHeight="1" x14ac:dyDescent="0.3">
      <c r="A679" s="4"/>
      <c r="B679" s="4"/>
      <c r="C679" s="4"/>
      <c r="D679" s="4"/>
      <c r="E679" s="4"/>
      <c r="F679" s="4"/>
      <c r="G679" s="4"/>
    </row>
    <row r="680" spans="1:7" ht="15.75" customHeight="1" x14ac:dyDescent="0.3">
      <c r="A680" s="4"/>
      <c r="B680" s="4"/>
      <c r="C680" s="4"/>
      <c r="D680" s="4"/>
      <c r="E680" s="4"/>
      <c r="F680" s="4"/>
      <c r="G680" s="4"/>
    </row>
    <row r="681" spans="1:7" ht="15.75" customHeight="1" x14ac:dyDescent="0.3">
      <c r="A681" s="4"/>
      <c r="B681" s="4"/>
      <c r="C681" s="4"/>
      <c r="D681" s="4"/>
      <c r="E681" s="4"/>
      <c r="F681" s="4"/>
      <c r="G681" s="4"/>
    </row>
    <row r="682" spans="1:7" ht="15.75" customHeight="1" x14ac:dyDescent="0.3">
      <c r="A682" s="4"/>
      <c r="B682" s="4"/>
      <c r="C682" s="4"/>
      <c r="D682" s="4"/>
      <c r="E682" s="4"/>
      <c r="F682" s="4"/>
      <c r="G682" s="4"/>
    </row>
    <row r="683" spans="1:7" ht="15.75" customHeight="1" x14ac:dyDescent="0.3">
      <c r="A683" s="4"/>
      <c r="B683" s="4"/>
      <c r="C683" s="4"/>
      <c r="D683" s="4"/>
      <c r="E683" s="4"/>
      <c r="F683" s="4"/>
      <c r="G683" s="4"/>
    </row>
    <row r="684" spans="1:7" ht="15.75" customHeight="1" x14ac:dyDescent="0.3">
      <c r="A684" s="4"/>
      <c r="B684" s="4"/>
      <c r="C684" s="4"/>
      <c r="D684" s="4"/>
      <c r="E684" s="4"/>
      <c r="F684" s="4"/>
      <c r="G684" s="4"/>
    </row>
    <row r="685" spans="1:7" ht="15.75" customHeight="1" x14ac:dyDescent="0.3">
      <c r="A685" s="4"/>
      <c r="B685" s="4"/>
      <c r="C685" s="4"/>
      <c r="D685" s="4"/>
      <c r="E685" s="4"/>
      <c r="F685" s="4"/>
      <c r="G685" s="4"/>
    </row>
    <row r="686" spans="1:7" ht="15.75" customHeight="1" x14ac:dyDescent="0.3">
      <c r="A686" s="4"/>
      <c r="B686" s="4"/>
      <c r="C686" s="4"/>
      <c r="D686" s="4"/>
      <c r="E686" s="4"/>
      <c r="F686" s="4"/>
      <c r="G686" s="4"/>
    </row>
    <row r="687" spans="1:7" ht="15.75" customHeight="1" x14ac:dyDescent="0.3">
      <c r="A687" s="4"/>
      <c r="B687" s="4"/>
      <c r="C687" s="4"/>
      <c r="D687" s="4"/>
      <c r="E687" s="4"/>
      <c r="F687" s="4"/>
      <c r="G687" s="4"/>
    </row>
    <row r="688" spans="1:7" ht="15.75" customHeight="1" x14ac:dyDescent="0.3">
      <c r="A688" s="4"/>
      <c r="B688" s="4"/>
      <c r="C688" s="4"/>
      <c r="D688" s="4"/>
      <c r="E688" s="4"/>
      <c r="F688" s="4"/>
      <c r="G688" s="4"/>
    </row>
    <row r="689" spans="1:7" ht="15.75" customHeight="1" x14ac:dyDescent="0.3">
      <c r="A689" s="4"/>
      <c r="B689" s="4"/>
      <c r="C689" s="4"/>
      <c r="D689" s="4"/>
      <c r="E689" s="4"/>
      <c r="F689" s="4"/>
      <c r="G689" s="4"/>
    </row>
    <row r="690" spans="1:7" ht="15.75" customHeight="1" x14ac:dyDescent="0.3">
      <c r="A690" s="4"/>
      <c r="B690" s="4"/>
      <c r="C690" s="4"/>
      <c r="D690" s="4"/>
      <c r="E690" s="4"/>
      <c r="F690" s="4"/>
      <c r="G690" s="4"/>
    </row>
    <row r="691" spans="1:7" ht="15.75" customHeight="1" x14ac:dyDescent="0.3">
      <c r="A691" s="4"/>
      <c r="B691" s="4"/>
      <c r="C691" s="4"/>
      <c r="D691" s="4"/>
      <c r="E691" s="4"/>
      <c r="F691" s="4"/>
      <c r="G691" s="4"/>
    </row>
    <row r="692" spans="1:7" ht="15.75" customHeight="1" x14ac:dyDescent="0.3">
      <c r="A692" s="4"/>
      <c r="B692" s="4"/>
      <c r="C692" s="4"/>
      <c r="D692" s="4"/>
      <c r="E692" s="4"/>
      <c r="F692" s="4"/>
      <c r="G692" s="4"/>
    </row>
    <row r="693" spans="1:7" ht="15.75" customHeight="1" x14ac:dyDescent="0.3">
      <c r="A693" s="4"/>
      <c r="B693" s="4"/>
      <c r="C693" s="4"/>
      <c r="D693" s="4"/>
      <c r="E693" s="4"/>
      <c r="F693" s="4"/>
      <c r="G693" s="4"/>
    </row>
    <row r="694" spans="1:7" ht="15.75" customHeight="1" x14ac:dyDescent="0.3">
      <c r="A694" s="4"/>
      <c r="B694" s="4"/>
      <c r="C694" s="4"/>
      <c r="D694" s="4"/>
      <c r="E694" s="4"/>
      <c r="F694" s="4"/>
      <c r="G694" s="4"/>
    </row>
    <row r="695" spans="1:7" ht="15.75" customHeight="1" x14ac:dyDescent="0.3">
      <c r="A695" s="4"/>
      <c r="B695" s="4"/>
      <c r="C695" s="4"/>
      <c r="D695" s="4"/>
      <c r="E695" s="4"/>
      <c r="F695" s="4"/>
      <c r="G695" s="4"/>
    </row>
    <row r="696" spans="1:7" ht="15.75" customHeight="1" x14ac:dyDescent="0.3">
      <c r="A696" s="4"/>
      <c r="B696" s="4"/>
      <c r="C696" s="4"/>
      <c r="D696" s="4"/>
      <c r="E696" s="4"/>
      <c r="F696" s="4"/>
      <c r="G696" s="4"/>
    </row>
    <row r="697" spans="1:7" ht="15.75" customHeight="1" x14ac:dyDescent="0.3">
      <c r="A697" s="4"/>
      <c r="B697" s="4"/>
      <c r="C697" s="4"/>
      <c r="D697" s="4"/>
      <c r="E697" s="4"/>
      <c r="F697" s="4"/>
      <c r="G697" s="4"/>
    </row>
    <row r="698" spans="1:7" ht="15.75" customHeight="1" x14ac:dyDescent="0.3">
      <c r="A698" s="4"/>
      <c r="B698" s="4"/>
      <c r="C698" s="4"/>
      <c r="D698" s="4"/>
      <c r="E698" s="4"/>
      <c r="F698" s="4"/>
      <c r="G698" s="4"/>
    </row>
    <row r="699" spans="1:7" ht="15.75" customHeight="1" x14ac:dyDescent="0.3">
      <c r="A699" s="4"/>
      <c r="B699" s="4"/>
      <c r="C699" s="4"/>
      <c r="D699" s="4"/>
      <c r="E699" s="4"/>
      <c r="F699" s="4"/>
      <c r="G699" s="4"/>
    </row>
    <row r="700" spans="1:7" ht="15.75" customHeight="1" x14ac:dyDescent="0.3">
      <c r="A700" s="4"/>
      <c r="B700" s="4"/>
      <c r="C700" s="4"/>
      <c r="D700" s="4"/>
      <c r="E700" s="4"/>
      <c r="F700" s="4"/>
      <c r="G700" s="4"/>
    </row>
    <row r="701" spans="1:7" ht="15.75" customHeight="1" x14ac:dyDescent="0.3">
      <c r="A701" s="4"/>
      <c r="B701" s="4"/>
      <c r="C701" s="4"/>
      <c r="D701" s="4"/>
      <c r="E701" s="4"/>
      <c r="F701" s="4"/>
      <c r="G701" s="4"/>
    </row>
    <row r="702" spans="1:7" ht="15.75" customHeight="1" x14ac:dyDescent="0.3">
      <c r="A702" s="4"/>
      <c r="B702" s="4"/>
      <c r="C702" s="4"/>
      <c r="D702" s="4"/>
      <c r="E702" s="4"/>
      <c r="F702" s="4"/>
      <c r="G702" s="4"/>
    </row>
    <row r="703" spans="1:7" ht="15.75" customHeight="1" x14ac:dyDescent="0.3">
      <c r="A703" s="4"/>
      <c r="B703" s="4"/>
      <c r="C703" s="4"/>
      <c r="D703" s="4"/>
      <c r="E703" s="4"/>
      <c r="F703" s="4"/>
      <c r="G703" s="4"/>
    </row>
    <row r="704" spans="1:7" ht="15.75" customHeight="1" x14ac:dyDescent="0.3">
      <c r="A704" s="4"/>
      <c r="B704" s="4"/>
      <c r="C704" s="4"/>
      <c r="D704" s="4"/>
      <c r="E704" s="4"/>
      <c r="F704" s="4"/>
      <c r="G704" s="4"/>
    </row>
    <row r="705" spans="1:7" ht="15.75" customHeight="1" x14ac:dyDescent="0.3">
      <c r="A705" s="4"/>
      <c r="B705" s="4"/>
      <c r="C705" s="4"/>
      <c r="D705" s="4"/>
      <c r="E705" s="4"/>
      <c r="F705" s="4"/>
      <c r="G705" s="4"/>
    </row>
    <row r="706" spans="1:7" ht="15.75" customHeight="1" x14ac:dyDescent="0.3">
      <c r="A706" s="4"/>
      <c r="B706" s="4"/>
      <c r="C706" s="4"/>
      <c r="D706" s="4"/>
      <c r="E706" s="4"/>
      <c r="F706" s="4"/>
      <c r="G706" s="4"/>
    </row>
    <row r="707" spans="1:7" ht="15.75" customHeight="1" x14ac:dyDescent="0.3">
      <c r="A707" s="4"/>
      <c r="B707" s="4"/>
      <c r="C707" s="4"/>
      <c r="D707" s="4"/>
      <c r="E707" s="4"/>
      <c r="F707" s="4"/>
      <c r="G707" s="4"/>
    </row>
    <row r="708" spans="1:7" ht="15.75" customHeight="1" x14ac:dyDescent="0.3">
      <c r="A708" s="4"/>
      <c r="B708" s="4"/>
      <c r="C708" s="4"/>
      <c r="D708" s="4"/>
      <c r="E708" s="4"/>
      <c r="F708" s="4"/>
      <c r="G708" s="4"/>
    </row>
    <row r="709" spans="1:7" ht="15.75" customHeight="1" x14ac:dyDescent="0.3">
      <c r="A709" s="4"/>
      <c r="B709" s="4"/>
      <c r="C709" s="4"/>
      <c r="D709" s="4"/>
      <c r="E709" s="4"/>
      <c r="F709" s="4"/>
      <c r="G709" s="4"/>
    </row>
    <row r="710" spans="1:7" ht="15.75" customHeight="1" x14ac:dyDescent="0.3">
      <c r="A710" s="4"/>
      <c r="B710" s="4"/>
      <c r="C710" s="4"/>
      <c r="D710" s="4"/>
      <c r="E710" s="4"/>
      <c r="F710" s="4"/>
      <c r="G710" s="4"/>
    </row>
    <row r="711" spans="1:7" ht="15.75" customHeight="1" x14ac:dyDescent="0.3">
      <c r="A711" s="4"/>
      <c r="B711" s="4"/>
      <c r="C711" s="4"/>
      <c r="D711" s="4"/>
      <c r="E711" s="4"/>
      <c r="F711" s="4"/>
      <c r="G711" s="4"/>
    </row>
    <row r="712" spans="1:7" ht="15.75" customHeight="1" x14ac:dyDescent="0.3">
      <c r="A712" s="4"/>
      <c r="B712" s="4"/>
      <c r="C712" s="4"/>
      <c r="D712" s="4"/>
      <c r="E712" s="4"/>
      <c r="F712" s="4"/>
      <c r="G712" s="4"/>
    </row>
    <row r="713" spans="1:7" ht="15.75" customHeight="1" x14ac:dyDescent="0.3">
      <c r="A713" s="4"/>
      <c r="B713" s="4"/>
      <c r="C713" s="4"/>
      <c r="D713" s="4"/>
      <c r="E713" s="4"/>
      <c r="F713" s="4"/>
      <c r="G713" s="4"/>
    </row>
    <row r="714" spans="1:7" ht="15.75" customHeight="1" x14ac:dyDescent="0.3">
      <c r="A714" s="4"/>
      <c r="B714" s="4"/>
      <c r="C714" s="4"/>
      <c r="D714" s="4"/>
      <c r="E714" s="4"/>
      <c r="F714" s="4"/>
      <c r="G714" s="4"/>
    </row>
    <row r="715" spans="1:7" ht="15.75" customHeight="1" x14ac:dyDescent="0.3">
      <c r="A715" s="4"/>
      <c r="B715" s="4"/>
      <c r="C715" s="4"/>
      <c r="D715" s="4"/>
      <c r="E715" s="4"/>
      <c r="F715" s="4"/>
      <c r="G715" s="4"/>
    </row>
    <row r="716" spans="1:7" ht="15.75" customHeight="1" x14ac:dyDescent="0.3">
      <c r="A716" s="4"/>
      <c r="B716" s="4"/>
      <c r="C716" s="4"/>
      <c r="D716" s="4"/>
      <c r="E716" s="4"/>
      <c r="F716" s="4"/>
      <c r="G716" s="4"/>
    </row>
    <row r="717" spans="1:7" ht="15.75" customHeight="1" x14ac:dyDescent="0.3">
      <c r="A717" s="4"/>
      <c r="B717" s="4"/>
      <c r="C717" s="4"/>
      <c r="D717" s="4"/>
      <c r="E717" s="4"/>
      <c r="F717" s="4"/>
      <c r="G717" s="4"/>
    </row>
    <row r="718" spans="1:7" ht="15.75" customHeight="1" x14ac:dyDescent="0.3">
      <c r="A718" s="4"/>
      <c r="B718" s="4"/>
      <c r="C718" s="4"/>
      <c r="D718" s="4"/>
      <c r="E718" s="4"/>
      <c r="F718" s="4"/>
      <c r="G718" s="4"/>
    </row>
    <row r="719" spans="1:7" ht="15.75" customHeight="1" x14ac:dyDescent="0.3">
      <c r="A719" s="4"/>
      <c r="B719" s="4"/>
      <c r="C719" s="4"/>
      <c r="D719" s="4"/>
      <c r="E719" s="4"/>
      <c r="F719" s="4"/>
      <c r="G719" s="4"/>
    </row>
    <row r="720" spans="1:7" ht="15.75" customHeight="1" x14ac:dyDescent="0.3">
      <c r="A720" s="4"/>
      <c r="B720" s="4"/>
      <c r="C720" s="4"/>
      <c r="D720" s="4"/>
      <c r="E720" s="4"/>
      <c r="F720" s="4"/>
      <c r="G720" s="4"/>
    </row>
    <row r="721" spans="1:7" ht="15.75" customHeight="1" x14ac:dyDescent="0.3">
      <c r="A721" s="4"/>
      <c r="B721" s="4"/>
      <c r="C721" s="4"/>
      <c r="D721" s="4"/>
      <c r="E721" s="4"/>
      <c r="F721" s="4"/>
      <c r="G721" s="4"/>
    </row>
    <row r="722" spans="1:7" ht="15.75" customHeight="1" x14ac:dyDescent="0.3">
      <c r="A722" s="4"/>
      <c r="B722" s="4"/>
      <c r="C722" s="4"/>
      <c r="D722" s="4"/>
      <c r="E722" s="4"/>
      <c r="F722" s="4"/>
      <c r="G722" s="4"/>
    </row>
    <row r="723" spans="1:7" ht="15.75" customHeight="1" x14ac:dyDescent="0.3">
      <c r="A723" s="4"/>
      <c r="B723" s="4"/>
      <c r="C723" s="4"/>
      <c r="D723" s="4"/>
      <c r="E723" s="4"/>
      <c r="F723" s="4"/>
      <c r="G723" s="4"/>
    </row>
    <row r="724" spans="1:7" ht="15.75" customHeight="1" x14ac:dyDescent="0.3">
      <c r="A724" s="4"/>
      <c r="B724" s="4"/>
      <c r="C724" s="4"/>
      <c r="D724" s="4"/>
      <c r="E724" s="4"/>
      <c r="F724" s="4"/>
      <c r="G724" s="4"/>
    </row>
    <row r="725" spans="1:7" ht="15.75" customHeight="1" x14ac:dyDescent="0.3">
      <c r="A725" s="4"/>
      <c r="B725" s="4"/>
      <c r="C725" s="4"/>
      <c r="D725" s="4"/>
      <c r="E725" s="4"/>
      <c r="F725" s="4"/>
      <c r="G725" s="4"/>
    </row>
    <row r="726" spans="1:7" ht="15.75" customHeight="1" x14ac:dyDescent="0.3">
      <c r="A726" s="4"/>
      <c r="B726" s="4"/>
      <c r="C726" s="4"/>
      <c r="D726" s="4"/>
      <c r="E726" s="4"/>
      <c r="F726" s="4"/>
      <c r="G726" s="4"/>
    </row>
    <row r="727" spans="1:7" ht="15.75" customHeight="1" x14ac:dyDescent="0.3">
      <c r="A727" s="4"/>
      <c r="B727" s="4"/>
      <c r="C727" s="4"/>
      <c r="D727" s="4"/>
      <c r="E727" s="4"/>
      <c r="F727" s="4"/>
      <c r="G727" s="4"/>
    </row>
    <row r="728" spans="1:7" ht="15.75" customHeight="1" x14ac:dyDescent="0.3">
      <c r="A728" s="4"/>
      <c r="B728" s="4"/>
      <c r="C728" s="4"/>
      <c r="D728" s="4"/>
      <c r="E728" s="4"/>
      <c r="F728" s="4"/>
      <c r="G728" s="4"/>
    </row>
    <row r="729" spans="1:7" ht="15.75" customHeight="1" x14ac:dyDescent="0.3">
      <c r="A729" s="4"/>
      <c r="B729" s="4"/>
      <c r="C729" s="4"/>
      <c r="D729" s="4"/>
      <c r="E729" s="4"/>
      <c r="F729" s="4"/>
      <c r="G729" s="4"/>
    </row>
    <row r="730" spans="1:7" ht="15.75" customHeight="1" x14ac:dyDescent="0.3">
      <c r="A730" s="4"/>
      <c r="B730" s="4"/>
      <c r="C730" s="4"/>
      <c r="D730" s="4"/>
      <c r="E730" s="4"/>
      <c r="F730" s="4"/>
      <c r="G730" s="4"/>
    </row>
    <row r="731" spans="1:7" ht="15.75" customHeight="1" x14ac:dyDescent="0.3">
      <c r="A731" s="4"/>
      <c r="B731" s="4"/>
      <c r="C731" s="4"/>
      <c r="D731" s="4"/>
      <c r="E731" s="4"/>
      <c r="F731" s="4"/>
      <c r="G731" s="4"/>
    </row>
    <row r="732" spans="1:7" ht="15.75" customHeight="1" x14ac:dyDescent="0.3">
      <c r="A732" s="4"/>
      <c r="B732" s="4"/>
      <c r="C732" s="4"/>
      <c r="D732" s="4"/>
      <c r="E732" s="4"/>
      <c r="F732" s="4"/>
      <c r="G732" s="4"/>
    </row>
    <row r="733" spans="1:7" ht="15.75" customHeight="1" x14ac:dyDescent="0.3">
      <c r="A733" s="4"/>
      <c r="B733" s="4"/>
      <c r="C733" s="4"/>
      <c r="D733" s="4"/>
      <c r="E733" s="4"/>
      <c r="F733" s="4"/>
      <c r="G733" s="4"/>
    </row>
    <row r="734" spans="1:7" ht="15.75" customHeight="1" x14ac:dyDescent="0.3">
      <c r="A734" s="4"/>
      <c r="B734" s="4"/>
      <c r="C734" s="4"/>
      <c r="D734" s="4"/>
      <c r="E734" s="4"/>
      <c r="F734" s="4"/>
      <c r="G734" s="4"/>
    </row>
    <row r="735" spans="1:7" ht="15.75" customHeight="1" x14ac:dyDescent="0.3">
      <c r="A735" s="4"/>
      <c r="B735" s="4"/>
      <c r="C735" s="4"/>
      <c r="D735" s="4"/>
      <c r="E735" s="4"/>
      <c r="F735" s="4"/>
      <c r="G735" s="4"/>
    </row>
    <row r="736" spans="1:7" ht="15.75" customHeight="1" x14ac:dyDescent="0.3">
      <c r="A736" s="4"/>
      <c r="B736" s="4"/>
      <c r="C736" s="4"/>
      <c r="D736" s="4"/>
      <c r="E736" s="4"/>
      <c r="F736" s="4"/>
      <c r="G736" s="4"/>
    </row>
    <row r="737" spans="1:7" ht="15.75" customHeight="1" x14ac:dyDescent="0.3">
      <c r="A737" s="4"/>
      <c r="B737" s="4"/>
      <c r="C737" s="4"/>
      <c r="D737" s="4"/>
      <c r="E737" s="4"/>
      <c r="F737" s="4"/>
      <c r="G737" s="4"/>
    </row>
    <row r="738" spans="1:7" ht="15.75" customHeight="1" x14ac:dyDescent="0.3">
      <c r="A738" s="4"/>
      <c r="B738" s="4"/>
      <c r="C738" s="4"/>
      <c r="D738" s="4"/>
      <c r="E738" s="4"/>
      <c r="F738" s="4"/>
      <c r="G738" s="4"/>
    </row>
    <row r="739" spans="1:7" ht="15.75" customHeight="1" x14ac:dyDescent="0.3">
      <c r="A739" s="4"/>
      <c r="B739" s="4"/>
      <c r="C739" s="4"/>
      <c r="D739" s="4"/>
      <c r="E739" s="4"/>
      <c r="F739" s="4"/>
      <c r="G739" s="4"/>
    </row>
    <row r="740" spans="1:7" ht="15.75" customHeight="1" x14ac:dyDescent="0.3">
      <c r="A740" s="4"/>
      <c r="B740" s="4"/>
      <c r="C740" s="4"/>
      <c r="D740" s="4"/>
      <c r="E740" s="4"/>
      <c r="F740" s="4"/>
      <c r="G740" s="4"/>
    </row>
    <row r="741" spans="1:7" ht="15.75" customHeight="1" x14ac:dyDescent="0.3">
      <c r="A741" s="4"/>
      <c r="B741" s="4"/>
      <c r="C741" s="4"/>
      <c r="D741" s="4"/>
      <c r="E741" s="4"/>
      <c r="F741" s="4"/>
      <c r="G741" s="4"/>
    </row>
    <row r="742" spans="1:7" ht="15.75" customHeight="1" x14ac:dyDescent="0.3">
      <c r="A742" s="4"/>
      <c r="B742" s="4"/>
      <c r="C742" s="4"/>
      <c r="D742" s="4"/>
      <c r="E742" s="4"/>
      <c r="F742" s="4"/>
      <c r="G742" s="4"/>
    </row>
    <row r="743" spans="1:7" ht="15.75" customHeight="1" x14ac:dyDescent="0.3">
      <c r="A743" s="4"/>
      <c r="B743" s="4"/>
      <c r="C743" s="4"/>
      <c r="D743" s="4"/>
      <c r="E743" s="4"/>
      <c r="F743" s="4"/>
      <c r="G743" s="4"/>
    </row>
    <row r="744" spans="1:7" ht="15.75" customHeight="1" x14ac:dyDescent="0.3">
      <c r="A744" s="4"/>
      <c r="B744" s="4"/>
      <c r="C744" s="4"/>
      <c r="D744" s="4"/>
      <c r="E744" s="4"/>
      <c r="F744" s="4"/>
      <c r="G744" s="4"/>
    </row>
    <row r="745" spans="1:7" ht="15.75" customHeight="1" x14ac:dyDescent="0.3">
      <c r="A745" s="4"/>
      <c r="B745" s="4"/>
      <c r="C745" s="4"/>
      <c r="D745" s="4"/>
      <c r="E745" s="4"/>
      <c r="F745" s="4"/>
      <c r="G745" s="4"/>
    </row>
    <row r="746" spans="1:7" ht="15.75" customHeight="1" x14ac:dyDescent="0.3">
      <c r="A746" s="4"/>
      <c r="B746" s="4"/>
      <c r="C746" s="4"/>
      <c r="D746" s="4"/>
      <c r="E746" s="4"/>
      <c r="F746" s="4"/>
      <c r="G746" s="4"/>
    </row>
    <row r="747" spans="1:7" ht="15.75" customHeight="1" x14ac:dyDescent="0.3">
      <c r="A747" s="4"/>
      <c r="B747" s="4"/>
      <c r="C747" s="4"/>
      <c r="D747" s="4"/>
      <c r="E747" s="4"/>
      <c r="F747" s="4"/>
      <c r="G747" s="4"/>
    </row>
    <row r="748" spans="1:7" ht="15.75" customHeight="1" x14ac:dyDescent="0.3">
      <c r="A748" s="4"/>
      <c r="B748" s="4"/>
      <c r="C748" s="4"/>
      <c r="D748" s="4"/>
      <c r="E748" s="4"/>
      <c r="F748" s="4"/>
      <c r="G748" s="4"/>
    </row>
    <row r="749" spans="1:7" ht="15.75" customHeight="1" x14ac:dyDescent="0.3">
      <c r="A749" s="4"/>
      <c r="B749" s="4"/>
      <c r="C749" s="4"/>
      <c r="D749" s="4"/>
      <c r="E749" s="4"/>
      <c r="F749" s="4"/>
      <c r="G749" s="4"/>
    </row>
    <row r="750" spans="1:7" ht="15.75" customHeight="1" x14ac:dyDescent="0.3">
      <c r="A750" s="4"/>
      <c r="B750" s="4"/>
      <c r="C750" s="4"/>
      <c r="D750" s="4"/>
      <c r="E750" s="4"/>
      <c r="F750" s="4"/>
      <c r="G750" s="4"/>
    </row>
    <row r="751" spans="1:7" ht="15.75" customHeight="1" x14ac:dyDescent="0.3">
      <c r="A751" s="4"/>
      <c r="B751" s="4"/>
      <c r="C751" s="4"/>
      <c r="D751" s="4"/>
      <c r="E751" s="4"/>
      <c r="F751" s="4"/>
      <c r="G751" s="4"/>
    </row>
    <row r="752" spans="1:7" ht="15.75" customHeight="1" x14ac:dyDescent="0.3">
      <c r="A752" s="4"/>
      <c r="B752" s="4"/>
      <c r="C752" s="4"/>
      <c r="D752" s="4"/>
      <c r="E752" s="4"/>
      <c r="F752" s="4"/>
      <c r="G752" s="4"/>
    </row>
    <row r="753" spans="1:7" ht="15.75" customHeight="1" x14ac:dyDescent="0.3">
      <c r="A753" s="4"/>
      <c r="B753" s="4"/>
      <c r="C753" s="4"/>
      <c r="D753" s="4"/>
      <c r="E753" s="4"/>
      <c r="F753" s="4"/>
      <c r="G753" s="4"/>
    </row>
    <row r="754" spans="1:7" ht="15.75" customHeight="1" x14ac:dyDescent="0.3">
      <c r="A754" s="4"/>
      <c r="B754" s="4"/>
      <c r="C754" s="4"/>
      <c r="D754" s="4"/>
      <c r="E754" s="4"/>
      <c r="F754" s="4"/>
      <c r="G754" s="4"/>
    </row>
    <row r="755" spans="1:7" ht="15.75" customHeight="1" x14ac:dyDescent="0.3">
      <c r="A755" s="4"/>
      <c r="B755" s="4"/>
      <c r="C755" s="4"/>
      <c r="D755" s="4"/>
      <c r="E755" s="4"/>
      <c r="F755" s="4"/>
      <c r="G755" s="4"/>
    </row>
    <row r="756" spans="1:7" ht="15.75" customHeight="1" x14ac:dyDescent="0.3">
      <c r="A756" s="4"/>
      <c r="B756" s="4"/>
      <c r="C756" s="4"/>
      <c r="D756" s="4"/>
      <c r="E756" s="4"/>
      <c r="F756" s="4"/>
      <c r="G756" s="4"/>
    </row>
    <row r="757" spans="1:7" ht="15.75" customHeight="1" x14ac:dyDescent="0.3">
      <c r="A757" s="4"/>
      <c r="B757" s="4"/>
      <c r="C757" s="4"/>
      <c r="D757" s="4"/>
      <c r="E757" s="4"/>
      <c r="F757" s="4"/>
      <c r="G757" s="4"/>
    </row>
    <row r="758" spans="1:7" ht="15.75" customHeight="1" x14ac:dyDescent="0.3">
      <c r="A758" s="4"/>
      <c r="B758" s="4"/>
      <c r="C758" s="4"/>
      <c r="D758" s="4"/>
      <c r="E758" s="4"/>
      <c r="F758" s="4"/>
      <c r="G758" s="4"/>
    </row>
    <row r="759" spans="1:7" ht="15.75" customHeight="1" x14ac:dyDescent="0.3">
      <c r="A759" s="4"/>
      <c r="B759" s="4"/>
      <c r="C759" s="4"/>
      <c r="D759" s="4"/>
      <c r="E759" s="4"/>
      <c r="F759" s="4"/>
      <c r="G759" s="4"/>
    </row>
    <row r="760" spans="1:7" ht="15.75" customHeight="1" x14ac:dyDescent="0.3">
      <c r="A760" s="4"/>
      <c r="B760" s="4"/>
      <c r="C760" s="4"/>
      <c r="D760" s="4"/>
      <c r="E760" s="4"/>
      <c r="F760" s="4"/>
      <c r="G760" s="4"/>
    </row>
    <row r="761" spans="1:7" ht="15.75" customHeight="1" x14ac:dyDescent="0.3">
      <c r="A761" s="4"/>
      <c r="B761" s="4"/>
      <c r="C761" s="4"/>
      <c r="D761" s="4"/>
      <c r="E761" s="4"/>
      <c r="F761" s="4"/>
      <c r="G761" s="4"/>
    </row>
    <row r="762" spans="1:7" ht="15.75" customHeight="1" x14ac:dyDescent="0.3">
      <c r="A762" s="4"/>
      <c r="B762" s="4"/>
      <c r="C762" s="4"/>
      <c r="D762" s="4"/>
      <c r="E762" s="4"/>
      <c r="F762" s="4"/>
      <c r="G762" s="4"/>
    </row>
    <row r="763" spans="1:7" ht="15.75" customHeight="1" x14ac:dyDescent="0.3">
      <c r="A763" s="4"/>
      <c r="B763" s="4"/>
      <c r="C763" s="4"/>
      <c r="D763" s="4"/>
      <c r="E763" s="4"/>
      <c r="F763" s="4"/>
      <c r="G763" s="4"/>
    </row>
    <row r="764" spans="1:7" ht="15.75" customHeight="1" x14ac:dyDescent="0.3">
      <c r="A764" s="4"/>
      <c r="B764" s="4"/>
      <c r="C764" s="4"/>
      <c r="D764" s="4"/>
      <c r="E764" s="4"/>
      <c r="F764" s="4"/>
      <c r="G764" s="4"/>
    </row>
    <row r="765" spans="1:7" ht="15.75" customHeight="1" x14ac:dyDescent="0.3">
      <c r="A765" s="4"/>
      <c r="B765" s="4"/>
      <c r="C765" s="4"/>
      <c r="D765" s="4"/>
      <c r="E765" s="4"/>
      <c r="F765" s="4"/>
      <c r="G765" s="4"/>
    </row>
    <row r="766" spans="1:7" ht="15.75" customHeight="1" x14ac:dyDescent="0.3">
      <c r="A766" s="4"/>
      <c r="B766" s="4"/>
      <c r="C766" s="4"/>
      <c r="D766" s="4"/>
      <c r="E766" s="4"/>
      <c r="F766" s="4"/>
      <c r="G766" s="4"/>
    </row>
    <row r="767" spans="1:7" ht="15.75" customHeight="1" x14ac:dyDescent="0.3">
      <c r="A767" s="4"/>
      <c r="B767" s="4"/>
      <c r="C767" s="4"/>
      <c r="D767" s="4"/>
      <c r="E767" s="4"/>
      <c r="F767" s="4"/>
      <c r="G767" s="4"/>
    </row>
    <row r="768" spans="1:7" ht="15.75" customHeight="1" x14ac:dyDescent="0.3">
      <c r="A768" s="4"/>
      <c r="B768" s="4"/>
      <c r="C768" s="4"/>
      <c r="D768" s="4"/>
      <c r="E768" s="4"/>
      <c r="F768" s="4"/>
      <c r="G768" s="4"/>
    </row>
    <row r="769" spans="1:7" ht="15.75" customHeight="1" x14ac:dyDescent="0.3">
      <c r="A769" s="4"/>
      <c r="B769" s="4"/>
      <c r="C769" s="4"/>
      <c r="D769" s="4"/>
      <c r="E769" s="4"/>
      <c r="F769" s="4"/>
      <c r="G769" s="4"/>
    </row>
    <row r="770" spans="1:7" ht="15.75" customHeight="1" x14ac:dyDescent="0.3">
      <c r="A770" s="4"/>
      <c r="B770" s="4"/>
      <c r="C770" s="4"/>
      <c r="D770" s="4"/>
      <c r="E770" s="4"/>
      <c r="F770" s="4"/>
      <c r="G770" s="4"/>
    </row>
    <row r="771" spans="1:7" ht="15.75" customHeight="1" x14ac:dyDescent="0.3">
      <c r="A771" s="4"/>
      <c r="B771" s="4"/>
      <c r="C771" s="4"/>
      <c r="D771" s="4"/>
      <c r="E771" s="4"/>
      <c r="F771" s="4"/>
      <c r="G771" s="4"/>
    </row>
    <row r="772" spans="1:7" ht="15.75" customHeight="1" x14ac:dyDescent="0.3">
      <c r="A772" s="4"/>
      <c r="B772" s="4"/>
      <c r="C772" s="4"/>
      <c r="D772" s="4"/>
      <c r="E772" s="4"/>
      <c r="F772" s="4"/>
      <c r="G772" s="4"/>
    </row>
    <row r="773" spans="1:7" ht="15.75" customHeight="1" x14ac:dyDescent="0.3">
      <c r="A773" s="4"/>
      <c r="B773" s="4"/>
      <c r="C773" s="4"/>
      <c r="D773" s="4"/>
      <c r="E773" s="4"/>
      <c r="F773" s="4"/>
      <c r="G773" s="4"/>
    </row>
    <row r="774" spans="1:7" ht="15.75" customHeight="1" x14ac:dyDescent="0.3">
      <c r="A774" s="4"/>
      <c r="B774" s="4"/>
      <c r="C774" s="4"/>
      <c r="D774" s="4"/>
      <c r="E774" s="4"/>
      <c r="F774" s="4"/>
      <c r="G774" s="4"/>
    </row>
    <row r="775" spans="1:7" ht="15.75" customHeight="1" x14ac:dyDescent="0.3">
      <c r="A775" s="4"/>
      <c r="B775" s="4"/>
      <c r="C775" s="4"/>
      <c r="D775" s="4"/>
      <c r="E775" s="4"/>
      <c r="F775" s="4"/>
      <c r="G775" s="4"/>
    </row>
    <row r="776" spans="1:7" ht="15.75" customHeight="1" x14ac:dyDescent="0.3">
      <c r="A776" s="4"/>
      <c r="B776" s="4"/>
      <c r="C776" s="4"/>
      <c r="D776" s="4"/>
      <c r="E776" s="4"/>
      <c r="F776" s="4"/>
      <c r="G776" s="4"/>
    </row>
    <row r="777" spans="1:7" ht="15.75" customHeight="1" x14ac:dyDescent="0.3">
      <c r="A777" s="4"/>
      <c r="B777" s="4"/>
      <c r="C777" s="4"/>
      <c r="D777" s="4"/>
      <c r="E777" s="4"/>
      <c r="F777" s="4"/>
      <c r="G777" s="4"/>
    </row>
    <row r="778" spans="1:7" ht="15.75" customHeight="1" x14ac:dyDescent="0.3">
      <c r="A778" s="4"/>
      <c r="B778" s="4"/>
      <c r="C778" s="4"/>
      <c r="D778" s="4"/>
      <c r="E778" s="4"/>
      <c r="F778" s="4"/>
      <c r="G778" s="4"/>
    </row>
    <row r="779" spans="1:7" ht="15.75" customHeight="1" x14ac:dyDescent="0.3">
      <c r="A779" s="4"/>
      <c r="B779" s="4"/>
      <c r="C779" s="4"/>
      <c r="D779" s="4"/>
      <c r="E779" s="4"/>
      <c r="F779" s="4"/>
      <c r="G779" s="4"/>
    </row>
    <row r="780" spans="1:7" ht="15.75" customHeight="1" x14ac:dyDescent="0.3">
      <c r="A780" s="4"/>
      <c r="B780" s="4"/>
      <c r="C780" s="4"/>
      <c r="D780" s="4"/>
      <c r="E780" s="4"/>
      <c r="F780" s="4"/>
      <c r="G780" s="4"/>
    </row>
    <row r="781" spans="1:7" ht="15.75" customHeight="1" x14ac:dyDescent="0.3">
      <c r="A781" s="4"/>
      <c r="B781" s="4"/>
      <c r="C781" s="4"/>
      <c r="D781" s="4"/>
      <c r="E781" s="4"/>
      <c r="F781" s="4"/>
      <c r="G781" s="4"/>
    </row>
    <row r="782" spans="1:7" ht="15.75" customHeight="1" x14ac:dyDescent="0.3">
      <c r="A782" s="4"/>
      <c r="B782" s="4"/>
      <c r="C782" s="4"/>
      <c r="D782" s="4"/>
      <c r="E782" s="4"/>
      <c r="F782" s="4"/>
      <c r="G782" s="4"/>
    </row>
    <row r="783" spans="1:7" ht="15.75" customHeight="1" x14ac:dyDescent="0.3">
      <c r="A783" s="4"/>
      <c r="B783" s="4"/>
      <c r="C783" s="4"/>
      <c r="D783" s="4"/>
      <c r="E783" s="4"/>
      <c r="F783" s="4"/>
      <c r="G783" s="4"/>
    </row>
    <row r="784" spans="1:7" ht="15.75" customHeight="1" x14ac:dyDescent="0.3">
      <c r="A784" s="4"/>
      <c r="B784" s="4"/>
      <c r="C784" s="4"/>
      <c r="D784" s="4"/>
      <c r="E784" s="4"/>
      <c r="F784" s="4"/>
      <c r="G784" s="4"/>
    </row>
    <row r="785" spans="1:7" ht="15.75" customHeight="1" x14ac:dyDescent="0.3">
      <c r="A785" s="4"/>
      <c r="B785" s="4"/>
      <c r="C785" s="4"/>
      <c r="D785" s="4"/>
      <c r="E785" s="4"/>
      <c r="F785" s="4"/>
      <c r="G785" s="4"/>
    </row>
    <row r="786" spans="1:7" ht="15.75" customHeight="1" x14ac:dyDescent="0.3">
      <c r="A786" s="4"/>
      <c r="B786" s="4"/>
      <c r="C786" s="4"/>
      <c r="D786" s="4"/>
      <c r="E786" s="4"/>
      <c r="F786" s="4"/>
      <c r="G786" s="4"/>
    </row>
    <row r="787" spans="1:7" ht="15.75" customHeight="1" x14ac:dyDescent="0.3">
      <c r="A787" s="4"/>
      <c r="B787" s="4"/>
      <c r="C787" s="4"/>
      <c r="D787" s="4"/>
      <c r="E787" s="4"/>
      <c r="F787" s="4"/>
      <c r="G787" s="4"/>
    </row>
    <row r="788" spans="1:7" ht="15.75" customHeight="1" x14ac:dyDescent="0.3">
      <c r="A788" s="4"/>
      <c r="B788" s="4"/>
      <c r="C788" s="4"/>
      <c r="D788" s="4"/>
      <c r="E788" s="4"/>
      <c r="F788" s="4"/>
      <c r="G788" s="4"/>
    </row>
    <row r="789" spans="1:7" ht="15.75" customHeight="1" x14ac:dyDescent="0.3">
      <c r="A789" s="4"/>
      <c r="B789" s="4"/>
      <c r="C789" s="4"/>
      <c r="D789" s="4"/>
      <c r="E789" s="4"/>
      <c r="F789" s="4"/>
      <c r="G789" s="4"/>
    </row>
    <row r="790" spans="1:7" ht="15.75" customHeight="1" x14ac:dyDescent="0.3">
      <c r="A790" s="4"/>
      <c r="B790" s="4"/>
      <c r="C790" s="4"/>
      <c r="D790" s="4"/>
      <c r="E790" s="4"/>
      <c r="F790" s="4"/>
      <c r="G790" s="4"/>
    </row>
    <row r="791" spans="1:7" ht="15.75" customHeight="1" x14ac:dyDescent="0.3">
      <c r="A791" s="4"/>
      <c r="B791" s="4"/>
      <c r="C791" s="4"/>
      <c r="D791" s="4"/>
      <c r="E791" s="4"/>
      <c r="F791" s="4"/>
      <c r="G791" s="4"/>
    </row>
    <row r="792" spans="1:7" ht="15.75" customHeight="1" x14ac:dyDescent="0.3">
      <c r="A792" s="4"/>
      <c r="B792" s="4"/>
      <c r="C792" s="4"/>
      <c r="D792" s="4"/>
      <c r="E792" s="4"/>
      <c r="F792" s="4"/>
      <c r="G792" s="4"/>
    </row>
    <row r="793" spans="1:7" ht="15.75" customHeight="1" x14ac:dyDescent="0.3">
      <c r="A793" s="4"/>
      <c r="B793" s="4"/>
      <c r="C793" s="4"/>
      <c r="D793" s="4"/>
      <c r="E793" s="4"/>
      <c r="F793" s="4"/>
      <c r="G793" s="4"/>
    </row>
    <row r="794" spans="1:7" ht="15.75" customHeight="1" x14ac:dyDescent="0.3">
      <c r="A794" s="4"/>
      <c r="B794" s="4"/>
      <c r="C794" s="4"/>
      <c r="D794" s="4"/>
      <c r="E794" s="4"/>
      <c r="F794" s="4"/>
      <c r="G794" s="4"/>
    </row>
    <row r="795" spans="1:7" ht="15.75" customHeight="1" x14ac:dyDescent="0.3">
      <c r="A795" s="4"/>
      <c r="B795" s="4"/>
      <c r="C795" s="4"/>
      <c r="D795" s="4"/>
      <c r="E795" s="4"/>
      <c r="F795" s="4"/>
      <c r="G795" s="4"/>
    </row>
    <row r="796" spans="1:7" ht="15.75" customHeight="1" x14ac:dyDescent="0.3">
      <c r="A796" s="4"/>
      <c r="B796" s="4"/>
      <c r="C796" s="4"/>
      <c r="D796" s="4"/>
      <c r="E796" s="4"/>
      <c r="F796" s="4"/>
      <c r="G796" s="4"/>
    </row>
    <row r="797" spans="1:7" ht="15.75" customHeight="1" x14ac:dyDescent="0.3">
      <c r="A797" s="4"/>
      <c r="B797" s="4"/>
      <c r="C797" s="4"/>
      <c r="D797" s="4"/>
      <c r="E797" s="4"/>
      <c r="F797" s="4"/>
      <c r="G797" s="4"/>
    </row>
    <row r="798" spans="1:7" ht="15.75" customHeight="1" x14ac:dyDescent="0.3">
      <c r="A798" s="4"/>
      <c r="B798" s="4"/>
      <c r="C798" s="4"/>
      <c r="D798" s="4"/>
      <c r="E798" s="4"/>
      <c r="F798" s="4"/>
      <c r="G798" s="4"/>
    </row>
    <row r="799" spans="1:7" ht="15.75" customHeight="1" x14ac:dyDescent="0.3">
      <c r="A799" s="4"/>
      <c r="B799" s="4"/>
      <c r="C799" s="4"/>
      <c r="D799" s="4"/>
      <c r="E799" s="4"/>
      <c r="F799" s="4"/>
      <c r="G799" s="4"/>
    </row>
    <row r="800" spans="1:7" ht="15.75" customHeight="1" x14ac:dyDescent="0.3">
      <c r="A800" s="4"/>
      <c r="B800" s="4"/>
      <c r="C800" s="4"/>
      <c r="D800" s="4"/>
      <c r="E800" s="4"/>
      <c r="F800" s="4"/>
      <c r="G800" s="4"/>
    </row>
    <row r="801" spans="1:7" ht="15.75" customHeight="1" x14ac:dyDescent="0.3">
      <c r="A801" s="4"/>
      <c r="B801" s="4"/>
      <c r="C801" s="4"/>
      <c r="D801" s="4"/>
      <c r="E801" s="4"/>
      <c r="F801" s="4"/>
      <c r="G801" s="4"/>
    </row>
    <row r="802" spans="1:7" ht="15.75" customHeight="1" x14ac:dyDescent="0.3">
      <c r="A802" s="4"/>
      <c r="B802" s="4"/>
      <c r="C802" s="4"/>
      <c r="D802" s="4"/>
      <c r="E802" s="4"/>
      <c r="F802" s="4"/>
      <c r="G802" s="4"/>
    </row>
    <row r="803" spans="1:7" ht="15.75" customHeight="1" x14ac:dyDescent="0.3">
      <c r="A803" s="4"/>
      <c r="B803" s="4"/>
      <c r="C803" s="4"/>
      <c r="D803" s="4"/>
      <c r="E803" s="4"/>
      <c r="F803" s="4"/>
      <c r="G803" s="4"/>
    </row>
    <row r="804" spans="1:7" ht="15.75" customHeight="1" x14ac:dyDescent="0.3">
      <c r="A804" s="4"/>
      <c r="B804" s="4"/>
      <c r="C804" s="4"/>
      <c r="D804" s="4"/>
      <c r="E804" s="4"/>
      <c r="F804" s="4"/>
      <c r="G804" s="4"/>
    </row>
    <row r="805" spans="1:7" ht="15.75" customHeight="1" x14ac:dyDescent="0.3">
      <c r="A805" s="4"/>
      <c r="B805" s="4"/>
      <c r="C805" s="4"/>
      <c r="D805" s="4"/>
      <c r="E805" s="4"/>
      <c r="F805" s="4"/>
      <c r="G805" s="4"/>
    </row>
    <row r="806" spans="1:7" ht="15.75" customHeight="1" x14ac:dyDescent="0.3">
      <c r="A806" s="4"/>
      <c r="B806" s="4"/>
      <c r="C806" s="4"/>
      <c r="D806" s="4"/>
      <c r="E806" s="4"/>
      <c r="F806" s="4"/>
      <c r="G806" s="4"/>
    </row>
    <row r="807" spans="1:7" ht="15.75" customHeight="1" x14ac:dyDescent="0.3">
      <c r="A807" s="4"/>
      <c r="B807" s="4"/>
      <c r="C807" s="4"/>
      <c r="D807" s="4"/>
      <c r="E807" s="4"/>
      <c r="F807" s="4"/>
      <c r="G807" s="4"/>
    </row>
    <row r="808" spans="1:7" ht="15.75" customHeight="1" x14ac:dyDescent="0.3">
      <c r="A808" s="4"/>
      <c r="B808" s="4"/>
      <c r="C808" s="4"/>
      <c r="D808" s="4"/>
      <c r="E808" s="4"/>
      <c r="F808" s="4"/>
      <c r="G808" s="4"/>
    </row>
    <row r="809" spans="1:7" ht="15.75" customHeight="1" x14ac:dyDescent="0.3">
      <c r="A809" s="4"/>
      <c r="B809" s="4"/>
      <c r="C809" s="4"/>
      <c r="D809" s="4"/>
      <c r="E809" s="4"/>
      <c r="F809" s="4"/>
      <c r="G809" s="4"/>
    </row>
    <row r="810" spans="1:7" ht="15.75" customHeight="1" x14ac:dyDescent="0.3">
      <c r="A810" s="4"/>
      <c r="B810" s="4"/>
      <c r="C810" s="4"/>
      <c r="D810" s="4"/>
      <c r="E810" s="4"/>
      <c r="F810" s="4"/>
      <c r="G810" s="4"/>
    </row>
    <row r="811" spans="1:7" ht="15.75" customHeight="1" x14ac:dyDescent="0.3">
      <c r="A811" s="4"/>
      <c r="B811" s="4"/>
      <c r="C811" s="4"/>
      <c r="D811" s="4"/>
      <c r="E811" s="4"/>
      <c r="F811" s="4"/>
      <c r="G811" s="4"/>
    </row>
    <row r="812" spans="1:7" ht="15.75" customHeight="1" x14ac:dyDescent="0.3">
      <c r="A812" s="4"/>
      <c r="B812" s="4"/>
      <c r="C812" s="4"/>
      <c r="D812" s="4"/>
      <c r="E812" s="4"/>
      <c r="F812" s="4"/>
      <c r="G812" s="4"/>
    </row>
    <row r="813" spans="1:7" ht="15.75" customHeight="1" x14ac:dyDescent="0.3">
      <c r="A813" s="4"/>
      <c r="B813" s="4"/>
      <c r="C813" s="4"/>
      <c r="D813" s="4"/>
      <c r="E813" s="4"/>
      <c r="F813" s="4"/>
      <c r="G813" s="4"/>
    </row>
    <row r="814" spans="1:7" ht="15.75" customHeight="1" x14ac:dyDescent="0.3">
      <c r="A814" s="4"/>
      <c r="B814" s="4"/>
      <c r="C814" s="4"/>
      <c r="D814" s="4"/>
      <c r="E814" s="4"/>
      <c r="F814" s="4"/>
      <c r="G814" s="4"/>
    </row>
    <row r="815" spans="1:7" ht="15.75" customHeight="1" x14ac:dyDescent="0.3">
      <c r="A815" s="4"/>
      <c r="B815" s="4"/>
      <c r="C815" s="4"/>
      <c r="D815" s="4"/>
      <c r="E815" s="4"/>
      <c r="F815" s="4"/>
      <c r="G815" s="4"/>
    </row>
    <row r="816" spans="1:7" ht="15.75" customHeight="1" x14ac:dyDescent="0.3">
      <c r="A816" s="4"/>
      <c r="B816" s="4"/>
      <c r="C816" s="4"/>
      <c r="D816" s="4"/>
      <c r="E816" s="4"/>
      <c r="F816" s="4"/>
      <c r="G816" s="4"/>
    </row>
    <row r="817" spans="1:7" ht="15.75" customHeight="1" x14ac:dyDescent="0.3">
      <c r="A817" s="4"/>
      <c r="B817" s="4"/>
      <c r="C817" s="4"/>
      <c r="D817" s="4"/>
      <c r="E817" s="4"/>
      <c r="F817" s="4"/>
      <c r="G817" s="4"/>
    </row>
    <row r="818" spans="1:7" ht="15.75" customHeight="1" x14ac:dyDescent="0.3">
      <c r="A818" s="4"/>
      <c r="B818" s="4"/>
      <c r="C818" s="4"/>
      <c r="D818" s="4"/>
      <c r="E818" s="4"/>
      <c r="F818" s="4"/>
      <c r="G818" s="4"/>
    </row>
    <row r="819" spans="1:7" ht="15.75" customHeight="1" x14ac:dyDescent="0.3">
      <c r="A819" s="4"/>
      <c r="B819" s="4"/>
      <c r="C819" s="4"/>
      <c r="D819" s="4"/>
      <c r="E819" s="4"/>
      <c r="F819" s="4"/>
      <c r="G819" s="4"/>
    </row>
    <row r="820" spans="1:7" ht="15.75" customHeight="1" x14ac:dyDescent="0.3">
      <c r="A820" s="4"/>
      <c r="B820" s="4"/>
      <c r="C820" s="4"/>
      <c r="D820" s="4"/>
      <c r="E820" s="4"/>
      <c r="F820" s="4"/>
      <c r="G820" s="4"/>
    </row>
    <row r="821" spans="1:7" ht="15.75" customHeight="1" x14ac:dyDescent="0.3">
      <c r="A821" s="4"/>
      <c r="B821" s="4"/>
      <c r="C821" s="4"/>
      <c r="D821" s="4"/>
      <c r="E821" s="4"/>
      <c r="F821" s="4"/>
      <c r="G821" s="4"/>
    </row>
    <row r="822" spans="1:7" ht="15.75" customHeight="1" x14ac:dyDescent="0.3">
      <c r="A822" s="4"/>
      <c r="B822" s="4"/>
      <c r="C822" s="4"/>
      <c r="D822" s="4"/>
      <c r="E822" s="4"/>
      <c r="F822" s="4"/>
      <c r="G822" s="4"/>
    </row>
    <row r="823" spans="1:7" ht="15.75" customHeight="1" x14ac:dyDescent="0.3">
      <c r="A823" s="4"/>
      <c r="B823" s="4"/>
      <c r="C823" s="4"/>
      <c r="D823" s="4"/>
      <c r="E823" s="4"/>
      <c r="F823" s="4"/>
      <c r="G823" s="4"/>
    </row>
    <row r="824" spans="1:7" ht="15.75" customHeight="1" x14ac:dyDescent="0.3">
      <c r="A824" s="4"/>
      <c r="B824" s="4"/>
      <c r="C824" s="4"/>
      <c r="D824" s="4"/>
      <c r="E824" s="4"/>
      <c r="F824" s="4"/>
      <c r="G824" s="4"/>
    </row>
    <row r="825" spans="1:7" ht="15.75" customHeight="1" x14ac:dyDescent="0.3">
      <c r="A825" s="4"/>
      <c r="B825" s="4"/>
      <c r="C825" s="4"/>
      <c r="D825" s="4"/>
      <c r="E825" s="4"/>
      <c r="F825" s="4"/>
      <c r="G825" s="4"/>
    </row>
    <row r="826" spans="1:7" ht="15.75" customHeight="1" x14ac:dyDescent="0.3">
      <c r="A826" s="4"/>
      <c r="B826" s="4"/>
      <c r="C826" s="4"/>
      <c r="D826" s="4"/>
      <c r="E826" s="4"/>
      <c r="F826" s="4"/>
      <c r="G826" s="4"/>
    </row>
    <row r="827" spans="1:7" ht="15.75" customHeight="1" x14ac:dyDescent="0.3">
      <c r="A827" s="4"/>
      <c r="B827" s="4"/>
      <c r="C827" s="4"/>
      <c r="D827" s="4"/>
      <c r="E827" s="4"/>
      <c r="F827" s="4"/>
      <c r="G827" s="4"/>
    </row>
    <row r="828" spans="1:7" ht="15.75" customHeight="1" x14ac:dyDescent="0.3">
      <c r="A828" s="4"/>
      <c r="B828" s="4"/>
      <c r="C828" s="4"/>
      <c r="D828" s="4"/>
      <c r="E828" s="4"/>
      <c r="F828" s="4"/>
      <c r="G828" s="4"/>
    </row>
    <row r="829" spans="1:7" ht="15.75" customHeight="1" x14ac:dyDescent="0.3">
      <c r="A829" s="4"/>
      <c r="B829" s="4"/>
      <c r="C829" s="4"/>
      <c r="D829" s="4"/>
      <c r="E829" s="4"/>
      <c r="F829" s="4"/>
      <c r="G829" s="4"/>
    </row>
    <row r="830" spans="1:7" ht="15.75" customHeight="1" x14ac:dyDescent="0.3">
      <c r="A830" s="4"/>
      <c r="B830" s="4"/>
      <c r="C830" s="4"/>
      <c r="D830" s="4"/>
      <c r="E830" s="4"/>
      <c r="F830" s="4"/>
      <c r="G830" s="4"/>
    </row>
    <row r="831" spans="1:7" ht="15.75" customHeight="1" x14ac:dyDescent="0.3">
      <c r="A831" s="4"/>
      <c r="B831" s="4"/>
      <c r="C831" s="4"/>
      <c r="D831" s="4"/>
      <c r="E831" s="4"/>
      <c r="F831" s="4"/>
      <c r="G831" s="4"/>
    </row>
    <row r="832" spans="1:7" ht="15.75" customHeight="1" x14ac:dyDescent="0.3">
      <c r="A832" s="4"/>
      <c r="B832" s="4"/>
      <c r="C832" s="4"/>
      <c r="D832" s="4"/>
      <c r="E832" s="4"/>
      <c r="F832" s="4"/>
      <c r="G832" s="4"/>
    </row>
    <row r="833" spans="1:7" ht="15.75" customHeight="1" x14ac:dyDescent="0.3">
      <c r="A833" s="4"/>
      <c r="B833" s="4"/>
      <c r="C833" s="4"/>
      <c r="D833" s="4"/>
      <c r="E833" s="4"/>
      <c r="F833" s="4"/>
      <c r="G833" s="4"/>
    </row>
    <row r="834" spans="1:7" ht="15.75" customHeight="1" x14ac:dyDescent="0.3">
      <c r="A834" s="4"/>
      <c r="B834" s="4"/>
      <c r="C834" s="4"/>
      <c r="D834" s="4"/>
      <c r="E834" s="4"/>
      <c r="F834" s="4"/>
      <c r="G834" s="4"/>
    </row>
    <row r="835" spans="1:7" ht="15.75" customHeight="1" x14ac:dyDescent="0.3">
      <c r="A835" s="4"/>
      <c r="B835" s="4"/>
      <c r="C835" s="4"/>
      <c r="D835" s="4"/>
      <c r="E835" s="4"/>
      <c r="F835" s="4"/>
      <c r="G835" s="4"/>
    </row>
    <row r="836" spans="1:7" ht="15.75" customHeight="1" x14ac:dyDescent="0.3">
      <c r="A836" s="4"/>
      <c r="B836" s="4"/>
      <c r="C836" s="4"/>
      <c r="D836" s="4"/>
      <c r="E836" s="4"/>
      <c r="F836" s="4"/>
      <c r="G836" s="4"/>
    </row>
    <row r="837" spans="1:7" ht="15.75" customHeight="1" x14ac:dyDescent="0.3">
      <c r="A837" s="4"/>
      <c r="B837" s="4"/>
      <c r="C837" s="4"/>
      <c r="D837" s="4"/>
      <c r="E837" s="4"/>
      <c r="F837" s="4"/>
      <c r="G837" s="4"/>
    </row>
    <row r="838" spans="1:7" ht="15.75" customHeight="1" x14ac:dyDescent="0.3">
      <c r="A838" s="4"/>
      <c r="B838" s="4"/>
      <c r="C838" s="4"/>
      <c r="D838" s="4"/>
      <c r="E838" s="4"/>
      <c r="F838" s="4"/>
      <c r="G838" s="4"/>
    </row>
    <row r="839" spans="1:7" ht="15.75" customHeight="1" x14ac:dyDescent="0.3">
      <c r="A839" s="4"/>
      <c r="B839" s="4"/>
      <c r="C839" s="4"/>
      <c r="D839" s="4"/>
      <c r="E839" s="4"/>
      <c r="F839" s="4"/>
      <c r="G839" s="4"/>
    </row>
    <row r="840" spans="1:7" ht="15.75" customHeight="1" x14ac:dyDescent="0.3">
      <c r="A840" s="4"/>
      <c r="B840" s="4"/>
      <c r="C840" s="4"/>
      <c r="D840" s="4"/>
      <c r="E840" s="4"/>
      <c r="F840" s="4"/>
      <c r="G840" s="4"/>
    </row>
    <row r="841" spans="1:7" ht="15.75" customHeight="1" x14ac:dyDescent="0.3">
      <c r="A841" s="4"/>
      <c r="B841" s="4"/>
      <c r="C841" s="4"/>
      <c r="D841" s="4"/>
      <c r="E841" s="4"/>
      <c r="F841" s="4"/>
      <c r="G841" s="4"/>
    </row>
    <row r="842" spans="1:7" ht="15.75" customHeight="1" x14ac:dyDescent="0.3">
      <c r="A842" s="4"/>
      <c r="B842" s="4"/>
      <c r="C842" s="4"/>
      <c r="D842" s="4"/>
      <c r="E842" s="4"/>
      <c r="F842" s="4"/>
      <c r="G842" s="4"/>
    </row>
    <row r="843" spans="1:7" ht="15.75" customHeight="1" x14ac:dyDescent="0.3">
      <c r="A843" s="4"/>
      <c r="B843" s="4"/>
      <c r="C843" s="4"/>
      <c r="D843" s="4"/>
      <c r="E843" s="4"/>
      <c r="F843" s="4"/>
      <c r="G843" s="4"/>
    </row>
    <row r="844" spans="1:7" ht="15.75" customHeight="1" x14ac:dyDescent="0.3">
      <c r="A844" s="4"/>
      <c r="B844" s="4"/>
      <c r="C844" s="4"/>
      <c r="D844" s="4"/>
      <c r="E844" s="4"/>
      <c r="F844" s="4"/>
      <c r="G844" s="4"/>
    </row>
    <row r="845" spans="1:7" ht="15.75" customHeight="1" x14ac:dyDescent="0.3">
      <c r="A845" s="4"/>
      <c r="B845" s="4"/>
      <c r="C845" s="4"/>
      <c r="D845" s="4"/>
      <c r="E845" s="4"/>
      <c r="F845" s="4"/>
      <c r="G845" s="4"/>
    </row>
    <row r="846" spans="1:7" ht="15.75" customHeight="1" x14ac:dyDescent="0.3">
      <c r="A846" s="4"/>
      <c r="B846" s="4"/>
      <c r="C846" s="4"/>
      <c r="D846" s="4"/>
      <c r="E846" s="4"/>
      <c r="F846" s="4"/>
      <c r="G846" s="4"/>
    </row>
    <row r="847" spans="1:7" ht="15.75" customHeight="1" x14ac:dyDescent="0.3">
      <c r="A847" s="4"/>
      <c r="B847" s="4"/>
      <c r="C847" s="4"/>
      <c r="D847" s="4"/>
      <c r="E847" s="4"/>
      <c r="F847" s="4"/>
      <c r="G847" s="4"/>
    </row>
    <row r="848" spans="1:7" ht="15.75" customHeight="1" x14ac:dyDescent="0.3">
      <c r="A848" s="4"/>
      <c r="B848" s="4"/>
      <c r="C848" s="4"/>
      <c r="D848" s="4"/>
      <c r="E848" s="4"/>
      <c r="F848" s="4"/>
      <c r="G848" s="4"/>
    </row>
    <row r="849" spans="1:7" ht="15.75" customHeight="1" x14ac:dyDescent="0.3">
      <c r="A849" s="4"/>
      <c r="B849" s="4"/>
      <c r="C849" s="4"/>
      <c r="D849" s="4"/>
      <c r="E849" s="4"/>
      <c r="F849" s="4"/>
      <c r="G849" s="4"/>
    </row>
    <row r="850" spans="1:7" ht="15.75" customHeight="1" x14ac:dyDescent="0.3">
      <c r="A850" s="4"/>
      <c r="B850" s="4"/>
      <c r="C850" s="4"/>
      <c r="D850" s="4"/>
      <c r="E850" s="4"/>
      <c r="F850" s="4"/>
      <c r="G850" s="4"/>
    </row>
    <row r="851" spans="1:7" ht="15.75" customHeight="1" x14ac:dyDescent="0.3">
      <c r="A851" s="4"/>
      <c r="B851" s="4"/>
      <c r="C851" s="4"/>
      <c r="D851" s="4"/>
      <c r="E851" s="4"/>
      <c r="F851" s="4"/>
      <c r="G851" s="4"/>
    </row>
    <row r="852" spans="1:7" ht="15.75" customHeight="1" x14ac:dyDescent="0.3">
      <c r="A852" s="4"/>
      <c r="B852" s="4"/>
      <c r="C852" s="4"/>
      <c r="D852" s="4"/>
      <c r="E852" s="4"/>
      <c r="F852" s="4"/>
      <c r="G852" s="4"/>
    </row>
    <row r="853" spans="1:7" ht="15.75" customHeight="1" x14ac:dyDescent="0.3">
      <c r="A853" s="4"/>
      <c r="B853" s="4"/>
      <c r="C853" s="4"/>
      <c r="D853" s="4"/>
      <c r="E853" s="4"/>
      <c r="F853" s="4"/>
      <c r="G853" s="4"/>
    </row>
    <row r="854" spans="1:7" ht="15.75" customHeight="1" x14ac:dyDescent="0.3">
      <c r="A854" s="4"/>
      <c r="B854" s="4"/>
      <c r="C854" s="4"/>
      <c r="D854" s="4"/>
      <c r="E854" s="4"/>
      <c r="F854" s="4"/>
      <c r="G854" s="4"/>
    </row>
    <row r="855" spans="1:7" ht="15.75" customHeight="1" x14ac:dyDescent="0.3">
      <c r="A855" s="4"/>
      <c r="B855" s="4"/>
      <c r="C855" s="4"/>
      <c r="D855" s="4"/>
      <c r="E855" s="4"/>
      <c r="F855" s="4"/>
      <c r="G855" s="4"/>
    </row>
    <row r="856" spans="1:7" ht="15.75" customHeight="1" x14ac:dyDescent="0.3">
      <c r="A856" s="4"/>
      <c r="B856" s="4"/>
      <c r="C856" s="4"/>
      <c r="D856" s="4"/>
      <c r="E856" s="4"/>
      <c r="F856" s="4"/>
      <c r="G856" s="4"/>
    </row>
    <row r="857" spans="1:7" ht="15.75" customHeight="1" x14ac:dyDescent="0.3">
      <c r="A857" s="4"/>
      <c r="B857" s="4"/>
      <c r="C857" s="4"/>
      <c r="D857" s="4"/>
      <c r="E857" s="4"/>
      <c r="F857" s="4"/>
      <c r="G857" s="4"/>
    </row>
    <row r="858" spans="1:7" ht="15.75" customHeight="1" x14ac:dyDescent="0.3">
      <c r="A858" s="4"/>
      <c r="B858" s="4"/>
      <c r="C858" s="4"/>
      <c r="D858" s="4"/>
      <c r="E858" s="4"/>
      <c r="F858" s="4"/>
      <c r="G858" s="4"/>
    </row>
    <row r="859" spans="1:7" ht="15.75" customHeight="1" x14ac:dyDescent="0.3">
      <c r="A859" s="4"/>
      <c r="B859" s="4"/>
      <c r="C859" s="4"/>
      <c r="D859" s="4"/>
      <c r="E859" s="4"/>
      <c r="F859" s="4"/>
      <c r="G859" s="4"/>
    </row>
    <row r="860" spans="1:7" ht="15.75" customHeight="1" x14ac:dyDescent="0.3">
      <c r="A860" s="4"/>
      <c r="B860" s="4"/>
      <c r="C860" s="4"/>
      <c r="D860" s="4"/>
      <c r="E860" s="4"/>
      <c r="F860" s="4"/>
      <c r="G860" s="4"/>
    </row>
    <row r="861" spans="1:7" ht="15.75" customHeight="1" x14ac:dyDescent="0.3">
      <c r="A861" s="4"/>
      <c r="B861" s="4"/>
      <c r="C861" s="4"/>
      <c r="D861" s="4"/>
      <c r="E861" s="4"/>
      <c r="F861" s="4"/>
      <c r="G861" s="4"/>
    </row>
    <row r="862" spans="1:7" ht="15.75" customHeight="1" x14ac:dyDescent="0.3">
      <c r="A862" s="4"/>
      <c r="B862" s="4"/>
      <c r="C862" s="4"/>
      <c r="D862" s="4"/>
      <c r="E862" s="4"/>
      <c r="F862" s="4"/>
      <c r="G862" s="4"/>
    </row>
    <row r="863" spans="1:7" ht="15.75" customHeight="1" x14ac:dyDescent="0.3">
      <c r="A863" s="4"/>
      <c r="B863" s="4"/>
      <c r="C863" s="4"/>
      <c r="D863" s="4"/>
      <c r="E863" s="4"/>
      <c r="F863" s="4"/>
      <c r="G863" s="4"/>
    </row>
    <row r="864" spans="1:7" ht="15.75" customHeight="1" x14ac:dyDescent="0.3">
      <c r="A864" s="4"/>
      <c r="B864" s="4"/>
      <c r="C864" s="4"/>
      <c r="D864" s="4"/>
      <c r="E864" s="4"/>
      <c r="F864" s="4"/>
      <c r="G864" s="4"/>
    </row>
    <row r="865" spans="1:7" ht="15.75" customHeight="1" x14ac:dyDescent="0.3">
      <c r="A865" s="4"/>
      <c r="B865" s="4"/>
      <c r="C865" s="4"/>
      <c r="D865" s="4"/>
      <c r="E865" s="4"/>
      <c r="F865" s="4"/>
      <c r="G865" s="4"/>
    </row>
    <row r="866" spans="1:7" ht="15.75" customHeight="1" x14ac:dyDescent="0.3">
      <c r="A866" s="4"/>
      <c r="B866" s="4"/>
      <c r="C866" s="4"/>
      <c r="D866" s="4"/>
      <c r="E866" s="4"/>
      <c r="F866" s="4"/>
      <c r="G866" s="4"/>
    </row>
    <row r="867" spans="1:7" ht="15.75" customHeight="1" x14ac:dyDescent="0.3">
      <c r="A867" s="4"/>
      <c r="B867" s="4"/>
      <c r="C867" s="4"/>
      <c r="D867" s="4"/>
      <c r="E867" s="4"/>
      <c r="F867" s="4"/>
      <c r="G867" s="4"/>
    </row>
    <row r="868" spans="1:7" ht="15.75" customHeight="1" x14ac:dyDescent="0.3">
      <c r="A868" s="4"/>
      <c r="B868" s="4"/>
      <c r="C868" s="4"/>
      <c r="D868" s="4"/>
      <c r="E868" s="4"/>
      <c r="F868" s="4"/>
      <c r="G868" s="4"/>
    </row>
    <row r="869" spans="1:7" ht="15.75" customHeight="1" x14ac:dyDescent="0.3">
      <c r="A869" s="4"/>
      <c r="B869" s="4"/>
      <c r="C869" s="4"/>
      <c r="D869" s="4"/>
      <c r="E869" s="4"/>
      <c r="F869" s="4"/>
      <c r="G869" s="4"/>
    </row>
    <row r="870" spans="1:7" ht="15.75" customHeight="1" x14ac:dyDescent="0.3">
      <c r="A870" s="4"/>
      <c r="B870" s="4"/>
      <c r="C870" s="4"/>
      <c r="D870" s="4"/>
      <c r="E870" s="4"/>
      <c r="F870" s="4"/>
      <c r="G870" s="4"/>
    </row>
    <row r="871" spans="1:7" ht="15.75" customHeight="1" x14ac:dyDescent="0.3">
      <c r="A871" s="4"/>
      <c r="B871" s="4"/>
      <c r="C871" s="4"/>
      <c r="D871" s="4"/>
      <c r="E871" s="4"/>
      <c r="F871" s="4"/>
      <c r="G871" s="4"/>
    </row>
    <row r="872" spans="1:7" ht="15.75" customHeight="1" x14ac:dyDescent="0.3">
      <c r="A872" s="4"/>
      <c r="B872" s="4"/>
      <c r="C872" s="4"/>
      <c r="D872" s="4"/>
      <c r="E872" s="4"/>
      <c r="F872" s="4"/>
      <c r="G872" s="4"/>
    </row>
    <row r="873" spans="1:7" ht="15.75" customHeight="1" x14ac:dyDescent="0.3">
      <c r="A873" s="4"/>
      <c r="B873" s="4"/>
      <c r="C873" s="4"/>
      <c r="D873" s="4"/>
      <c r="E873" s="4"/>
      <c r="F873" s="4"/>
      <c r="G873" s="4"/>
    </row>
    <row r="874" spans="1:7" ht="15.75" customHeight="1" x14ac:dyDescent="0.3">
      <c r="A874" s="4"/>
      <c r="B874" s="4"/>
      <c r="C874" s="4"/>
      <c r="D874" s="4"/>
      <c r="E874" s="4"/>
      <c r="F874" s="4"/>
      <c r="G874" s="4"/>
    </row>
    <row r="875" spans="1:7" ht="15.75" customHeight="1" x14ac:dyDescent="0.3">
      <c r="A875" s="4"/>
      <c r="B875" s="4"/>
      <c r="C875" s="4"/>
      <c r="D875" s="4"/>
      <c r="E875" s="4"/>
      <c r="F875" s="4"/>
      <c r="G875" s="4"/>
    </row>
    <row r="876" spans="1:7" ht="15.75" customHeight="1" x14ac:dyDescent="0.3">
      <c r="A876" s="4"/>
      <c r="B876" s="4"/>
      <c r="C876" s="4"/>
      <c r="D876" s="4"/>
      <c r="E876" s="4"/>
      <c r="F876" s="4"/>
      <c r="G876" s="4"/>
    </row>
    <row r="877" spans="1:7" ht="15.75" customHeight="1" x14ac:dyDescent="0.3">
      <c r="A877" s="4"/>
      <c r="B877" s="4"/>
      <c r="C877" s="4"/>
      <c r="D877" s="4"/>
      <c r="E877" s="4"/>
      <c r="F877" s="4"/>
      <c r="G877" s="4"/>
    </row>
    <row r="878" spans="1:7" ht="15.75" customHeight="1" x14ac:dyDescent="0.3">
      <c r="A878" s="4"/>
      <c r="B878" s="4"/>
      <c r="C878" s="4"/>
      <c r="D878" s="4"/>
      <c r="E878" s="4"/>
      <c r="F878" s="4"/>
      <c r="G878" s="4"/>
    </row>
    <row r="879" spans="1:7" ht="15.75" customHeight="1" x14ac:dyDescent="0.3">
      <c r="A879" s="4"/>
      <c r="B879" s="4"/>
      <c r="C879" s="4"/>
      <c r="D879" s="4"/>
      <c r="E879" s="4"/>
      <c r="F879" s="4"/>
      <c r="G879" s="4"/>
    </row>
    <row r="880" spans="1:7" ht="15.75" customHeight="1" x14ac:dyDescent="0.3">
      <c r="A880" s="4"/>
      <c r="B880" s="4"/>
      <c r="C880" s="4"/>
      <c r="D880" s="4"/>
      <c r="E880" s="4"/>
      <c r="F880" s="4"/>
      <c r="G880" s="4"/>
    </row>
    <row r="881" spans="1:7" ht="15.75" customHeight="1" x14ac:dyDescent="0.3">
      <c r="A881" s="4"/>
      <c r="B881" s="4"/>
      <c r="C881" s="4"/>
      <c r="D881" s="4"/>
      <c r="E881" s="4"/>
      <c r="F881" s="4"/>
      <c r="G881" s="4"/>
    </row>
    <row r="882" spans="1:7" ht="15.75" customHeight="1" x14ac:dyDescent="0.3">
      <c r="A882" s="4"/>
      <c r="B882" s="4"/>
      <c r="C882" s="4"/>
      <c r="D882" s="4"/>
      <c r="E882" s="4"/>
      <c r="F882" s="4"/>
      <c r="G882" s="4"/>
    </row>
    <row r="883" spans="1:7" ht="15.75" customHeight="1" x14ac:dyDescent="0.3">
      <c r="A883" s="4"/>
      <c r="B883" s="4"/>
      <c r="C883" s="4"/>
      <c r="D883" s="4"/>
      <c r="E883" s="4"/>
      <c r="F883" s="4"/>
      <c r="G883" s="4"/>
    </row>
    <row r="884" spans="1:7" ht="15.75" customHeight="1" x14ac:dyDescent="0.3">
      <c r="A884" s="4"/>
      <c r="B884" s="4"/>
      <c r="C884" s="4"/>
      <c r="D884" s="4"/>
      <c r="E884" s="4"/>
      <c r="F884" s="4"/>
      <c r="G884" s="4"/>
    </row>
    <row r="885" spans="1:7" ht="15.75" customHeight="1" x14ac:dyDescent="0.3">
      <c r="A885" s="4"/>
      <c r="B885" s="4"/>
      <c r="C885" s="4"/>
      <c r="D885" s="4"/>
      <c r="E885" s="4"/>
      <c r="F885" s="4"/>
      <c r="G885" s="4"/>
    </row>
    <row r="886" spans="1:7" ht="15.75" customHeight="1" x14ac:dyDescent="0.3">
      <c r="A886" s="4"/>
      <c r="B886" s="4"/>
      <c r="C886" s="4"/>
      <c r="D886" s="4"/>
      <c r="E886" s="4"/>
      <c r="F886" s="4"/>
      <c r="G886" s="4"/>
    </row>
    <row r="887" spans="1:7" ht="15.75" customHeight="1" x14ac:dyDescent="0.3">
      <c r="A887" s="4"/>
      <c r="B887" s="4"/>
      <c r="C887" s="4"/>
      <c r="D887" s="4"/>
      <c r="E887" s="4"/>
      <c r="F887" s="4"/>
      <c r="G887" s="4"/>
    </row>
    <row r="888" spans="1:7" ht="15.75" customHeight="1" x14ac:dyDescent="0.3">
      <c r="A888" s="4"/>
      <c r="B888" s="4"/>
      <c r="C888" s="4"/>
      <c r="D888" s="4"/>
      <c r="E888" s="4"/>
      <c r="F888" s="4"/>
      <c r="G888" s="4"/>
    </row>
    <row r="889" spans="1:7" ht="15.75" customHeight="1" x14ac:dyDescent="0.3">
      <c r="A889" s="4"/>
      <c r="B889" s="4"/>
      <c r="C889" s="4"/>
      <c r="D889" s="4"/>
      <c r="E889" s="4"/>
      <c r="F889" s="4"/>
      <c r="G889" s="4"/>
    </row>
    <row r="890" spans="1:7" ht="15.75" customHeight="1" x14ac:dyDescent="0.3">
      <c r="A890" s="4"/>
      <c r="B890" s="4"/>
      <c r="C890" s="4"/>
      <c r="D890" s="4"/>
      <c r="E890" s="4"/>
      <c r="F890" s="4"/>
      <c r="G890" s="4"/>
    </row>
    <row r="891" spans="1:7" ht="15.75" customHeight="1" x14ac:dyDescent="0.3">
      <c r="A891" s="4"/>
      <c r="B891" s="4"/>
      <c r="C891" s="4"/>
      <c r="D891" s="4"/>
      <c r="E891" s="4"/>
      <c r="F891" s="4"/>
      <c r="G891" s="4"/>
    </row>
    <row r="892" spans="1:7" ht="15.75" customHeight="1" x14ac:dyDescent="0.3">
      <c r="A892" s="4"/>
      <c r="B892" s="4"/>
      <c r="C892" s="4"/>
      <c r="D892" s="4"/>
      <c r="E892" s="4"/>
      <c r="F892" s="4"/>
      <c r="G892" s="4"/>
    </row>
    <row r="893" spans="1:7" ht="15.75" customHeight="1" x14ac:dyDescent="0.3">
      <c r="A893" s="4"/>
      <c r="B893" s="4"/>
      <c r="C893" s="4"/>
      <c r="D893" s="4"/>
      <c r="E893" s="4"/>
      <c r="F893" s="4"/>
      <c r="G893" s="4"/>
    </row>
    <row r="894" spans="1:7" ht="15.75" customHeight="1" x14ac:dyDescent="0.3">
      <c r="A894" s="4"/>
      <c r="B894" s="4"/>
      <c r="C894" s="4"/>
      <c r="D894" s="4"/>
      <c r="E894" s="4"/>
      <c r="F894" s="4"/>
      <c r="G894" s="4"/>
    </row>
    <row r="895" spans="1:7" ht="15.75" customHeight="1" x14ac:dyDescent="0.3">
      <c r="A895" s="4"/>
      <c r="B895" s="4"/>
      <c r="C895" s="4"/>
      <c r="D895" s="4"/>
      <c r="E895" s="4"/>
      <c r="F895" s="4"/>
      <c r="G895" s="4"/>
    </row>
    <row r="896" spans="1:7" ht="15.75" customHeight="1" x14ac:dyDescent="0.3">
      <c r="A896" s="4"/>
      <c r="B896" s="4"/>
      <c r="C896" s="4"/>
      <c r="D896" s="4"/>
      <c r="E896" s="4"/>
      <c r="F896" s="4"/>
      <c r="G896" s="4"/>
    </row>
    <row r="897" spans="1:7" ht="15.75" customHeight="1" x14ac:dyDescent="0.3">
      <c r="A897" s="4"/>
      <c r="B897" s="4"/>
      <c r="C897" s="4"/>
      <c r="D897" s="4"/>
      <c r="E897" s="4"/>
      <c r="F897" s="4"/>
      <c r="G897" s="4"/>
    </row>
    <row r="898" spans="1:7" ht="15.75" customHeight="1" x14ac:dyDescent="0.3">
      <c r="A898" s="4"/>
      <c r="B898" s="4"/>
      <c r="C898" s="4"/>
      <c r="D898" s="4"/>
      <c r="E898" s="4"/>
      <c r="F898" s="4"/>
      <c r="G898" s="4"/>
    </row>
    <row r="899" spans="1:7" ht="15.75" customHeight="1" x14ac:dyDescent="0.3">
      <c r="A899" s="4"/>
      <c r="B899" s="4"/>
      <c r="C899" s="4"/>
      <c r="D899" s="4"/>
      <c r="E899" s="4"/>
      <c r="F899" s="4"/>
      <c r="G899" s="4"/>
    </row>
    <row r="900" spans="1:7" ht="15.75" customHeight="1" x14ac:dyDescent="0.3">
      <c r="A900" s="4"/>
      <c r="B900" s="4"/>
      <c r="C900" s="4"/>
      <c r="D900" s="4"/>
      <c r="E900" s="4"/>
      <c r="F900" s="4"/>
      <c r="G900" s="4"/>
    </row>
    <row r="901" spans="1:7" ht="15.75" customHeight="1" x14ac:dyDescent="0.3">
      <c r="A901" s="4"/>
      <c r="B901" s="4"/>
      <c r="C901" s="4"/>
      <c r="D901" s="4"/>
      <c r="E901" s="4"/>
      <c r="F901" s="4"/>
      <c r="G901" s="4"/>
    </row>
    <row r="902" spans="1:7" ht="15.75" customHeight="1" x14ac:dyDescent="0.3">
      <c r="A902" s="4"/>
      <c r="B902" s="4"/>
      <c r="C902" s="4"/>
      <c r="D902" s="4"/>
      <c r="E902" s="4"/>
      <c r="F902" s="4"/>
      <c r="G902" s="4"/>
    </row>
    <row r="903" spans="1:7" ht="15.75" customHeight="1" x14ac:dyDescent="0.3">
      <c r="A903" s="4"/>
      <c r="B903" s="4"/>
      <c r="C903" s="4"/>
      <c r="D903" s="4"/>
      <c r="E903" s="4"/>
      <c r="F903" s="4"/>
      <c r="G903" s="4"/>
    </row>
    <row r="904" spans="1:7" ht="15.75" customHeight="1" x14ac:dyDescent="0.3">
      <c r="A904" s="4"/>
      <c r="B904" s="4"/>
      <c r="C904" s="4"/>
      <c r="D904" s="4"/>
      <c r="E904" s="4"/>
      <c r="F904" s="4"/>
      <c r="G904" s="4"/>
    </row>
    <row r="905" spans="1:7" ht="15.75" customHeight="1" x14ac:dyDescent="0.3">
      <c r="A905" s="4"/>
      <c r="B905" s="4"/>
      <c r="C905" s="4"/>
      <c r="D905" s="4"/>
      <c r="E905" s="4"/>
      <c r="F905" s="4"/>
      <c r="G905" s="4"/>
    </row>
    <row r="906" spans="1:7" ht="15.75" customHeight="1" x14ac:dyDescent="0.3">
      <c r="A906" s="4"/>
      <c r="B906" s="4"/>
      <c r="C906" s="4"/>
      <c r="D906" s="4"/>
      <c r="E906" s="4"/>
      <c r="F906" s="4"/>
      <c r="G906" s="4"/>
    </row>
    <row r="907" spans="1:7" ht="15.75" customHeight="1" x14ac:dyDescent="0.3">
      <c r="A907" s="4"/>
      <c r="B907" s="4"/>
      <c r="C907" s="4"/>
      <c r="D907" s="4"/>
      <c r="E907" s="4"/>
      <c r="F907" s="4"/>
      <c r="G907" s="4"/>
    </row>
    <row r="908" spans="1:7" ht="15.75" customHeight="1" x14ac:dyDescent="0.3">
      <c r="A908" s="4"/>
      <c r="B908" s="4"/>
      <c r="C908" s="4"/>
      <c r="D908" s="4"/>
      <c r="E908" s="4"/>
      <c r="F908" s="4"/>
      <c r="G908" s="4"/>
    </row>
    <row r="909" spans="1:7" ht="15.75" customHeight="1" x14ac:dyDescent="0.3">
      <c r="A909" s="4"/>
      <c r="B909" s="4"/>
      <c r="C909" s="4"/>
      <c r="D909" s="4"/>
      <c r="E909" s="4"/>
      <c r="F909" s="4"/>
      <c r="G909" s="4"/>
    </row>
    <row r="910" spans="1:7" ht="15.75" customHeight="1" x14ac:dyDescent="0.3">
      <c r="A910" s="4"/>
      <c r="B910" s="4"/>
      <c r="C910" s="4"/>
      <c r="D910" s="4"/>
      <c r="E910" s="4"/>
      <c r="F910" s="4"/>
      <c r="G910" s="4"/>
    </row>
    <row r="911" spans="1:7" ht="15.75" customHeight="1" x14ac:dyDescent="0.3">
      <c r="A911" s="4"/>
      <c r="B911" s="4"/>
      <c r="C911" s="4"/>
      <c r="D911" s="4"/>
      <c r="E911" s="4"/>
      <c r="F911" s="4"/>
      <c r="G911" s="4"/>
    </row>
    <row r="912" spans="1:7" ht="15.75" customHeight="1" x14ac:dyDescent="0.3">
      <c r="A912" s="4"/>
      <c r="B912" s="4"/>
      <c r="C912" s="4"/>
      <c r="D912" s="4"/>
      <c r="E912" s="4"/>
      <c r="F912" s="4"/>
      <c r="G912" s="4"/>
    </row>
    <row r="913" spans="1:7" ht="15.75" customHeight="1" x14ac:dyDescent="0.3">
      <c r="A913" s="4"/>
      <c r="B913" s="4"/>
      <c r="C913" s="4"/>
      <c r="D913" s="4"/>
      <c r="E913" s="4"/>
      <c r="F913" s="4"/>
      <c r="G913" s="4"/>
    </row>
    <row r="914" spans="1:7" ht="15.75" customHeight="1" x14ac:dyDescent="0.3">
      <c r="A914" s="4"/>
      <c r="B914" s="4"/>
      <c r="C914" s="4"/>
      <c r="D914" s="4"/>
      <c r="E914" s="4"/>
      <c r="F914" s="4"/>
      <c r="G914" s="4"/>
    </row>
    <row r="915" spans="1:7" ht="15.75" customHeight="1" x14ac:dyDescent="0.3">
      <c r="A915" s="4"/>
      <c r="B915" s="4"/>
      <c r="C915" s="4"/>
      <c r="D915" s="4"/>
      <c r="E915" s="4"/>
      <c r="F915" s="4"/>
      <c r="G915" s="4"/>
    </row>
    <row r="916" spans="1:7" ht="15.75" customHeight="1" x14ac:dyDescent="0.3">
      <c r="A916" s="4"/>
      <c r="B916" s="4"/>
      <c r="C916" s="4"/>
      <c r="D916" s="4"/>
      <c r="E916" s="4"/>
      <c r="F916" s="4"/>
      <c r="G916" s="4"/>
    </row>
    <row r="917" spans="1:7" ht="15.75" customHeight="1" x14ac:dyDescent="0.3">
      <c r="A917" s="4"/>
      <c r="B917" s="4"/>
      <c r="C917" s="4"/>
      <c r="D917" s="4"/>
      <c r="E917" s="4"/>
      <c r="F917" s="4"/>
      <c r="G917" s="4"/>
    </row>
    <row r="918" spans="1:7" ht="15.75" customHeight="1" x14ac:dyDescent="0.3">
      <c r="A918" s="4"/>
      <c r="B918" s="4"/>
      <c r="C918" s="4"/>
      <c r="D918" s="4"/>
      <c r="E918" s="4"/>
      <c r="F918" s="4"/>
      <c r="G918" s="4"/>
    </row>
    <row r="919" spans="1:7" ht="15.75" customHeight="1" x14ac:dyDescent="0.3">
      <c r="A919" s="4"/>
      <c r="B919" s="4"/>
      <c r="C919" s="4"/>
      <c r="D919" s="4"/>
      <c r="E919" s="4"/>
      <c r="F919" s="4"/>
      <c r="G919" s="4"/>
    </row>
    <row r="920" spans="1:7" ht="15.75" customHeight="1" x14ac:dyDescent="0.3">
      <c r="A920" s="4"/>
      <c r="B920" s="4"/>
      <c r="C920" s="4"/>
      <c r="D920" s="4"/>
      <c r="E920" s="4"/>
      <c r="F920" s="4"/>
      <c r="G920" s="4"/>
    </row>
    <row r="921" spans="1:7" ht="15.75" customHeight="1" x14ac:dyDescent="0.3">
      <c r="A921" s="4"/>
      <c r="B921" s="4"/>
      <c r="C921" s="4"/>
      <c r="D921" s="4"/>
      <c r="E921" s="4"/>
      <c r="F921" s="4"/>
      <c r="G921" s="4"/>
    </row>
    <row r="922" spans="1:7" ht="15.75" customHeight="1" x14ac:dyDescent="0.3">
      <c r="A922" s="4"/>
      <c r="B922" s="4"/>
      <c r="C922" s="4"/>
      <c r="D922" s="4"/>
      <c r="E922" s="4"/>
      <c r="F922" s="4"/>
      <c r="G922" s="4"/>
    </row>
    <row r="923" spans="1:7" ht="15.75" customHeight="1" x14ac:dyDescent="0.3">
      <c r="A923" s="4"/>
      <c r="B923" s="4"/>
      <c r="C923" s="4"/>
      <c r="D923" s="4"/>
      <c r="E923" s="4"/>
      <c r="F923" s="4"/>
      <c r="G923" s="4"/>
    </row>
    <row r="924" spans="1:7" ht="15.75" customHeight="1" x14ac:dyDescent="0.3">
      <c r="A924" s="4"/>
      <c r="B924" s="4"/>
      <c r="C924" s="4"/>
      <c r="D924" s="4"/>
      <c r="E924" s="4"/>
      <c r="F924" s="4"/>
      <c r="G924" s="4"/>
    </row>
    <row r="925" spans="1:7" ht="15.75" customHeight="1" x14ac:dyDescent="0.3">
      <c r="A925" s="4"/>
      <c r="B925" s="4"/>
      <c r="C925" s="4"/>
      <c r="D925" s="4"/>
      <c r="E925" s="4"/>
      <c r="F925" s="4"/>
      <c r="G925" s="4"/>
    </row>
    <row r="926" spans="1:7" ht="15.75" customHeight="1" x14ac:dyDescent="0.3">
      <c r="A926" s="4"/>
      <c r="B926" s="4"/>
      <c r="C926" s="4"/>
      <c r="D926" s="4"/>
      <c r="E926" s="4"/>
      <c r="F926" s="4"/>
      <c r="G926" s="4"/>
    </row>
    <row r="927" spans="1:7" ht="15.75" customHeight="1" x14ac:dyDescent="0.3">
      <c r="A927" s="4"/>
      <c r="B927" s="4"/>
      <c r="C927" s="4"/>
      <c r="D927" s="4"/>
      <c r="E927" s="4"/>
      <c r="F927" s="4"/>
      <c r="G927" s="4"/>
    </row>
    <row r="928" spans="1:7" ht="15.75" customHeight="1" x14ac:dyDescent="0.3">
      <c r="A928" s="4"/>
      <c r="B928" s="4"/>
      <c r="C928" s="4"/>
      <c r="D928" s="4"/>
      <c r="E928" s="4"/>
      <c r="F928" s="4"/>
      <c r="G928" s="4"/>
    </row>
    <row r="929" spans="1:7" ht="15.75" customHeight="1" x14ac:dyDescent="0.3">
      <c r="A929" s="4"/>
      <c r="B929" s="4"/>
      <c r="C929" s="4"/>
      <c r="D929" s="4"/>
      <c r="E929" s="4"/>
      <c r="F929" s="4"/>
      <c r="G929" s="4"/>
    </row>
    <row r="930" spans="1:7" ht="15.75" customHeight="1" x14ac:dyDescent="0.3">
      <c r="A930" s="4"/>
      <c r="B930" s="4"/>
      <c r="C930" s="4"/>
      <c r="D930" s="4"/>
      <c r="E930" s="4"/>
      <c r="F930" s="4"/>
      <c r="G930" s="4"/>
    </row>
    <row r="931" spans="1:7" ht="15.75" customHeight="1" x14ac:dyDescent="0.3">
      <c r="A931" s="4"/>
      <c r="B931" s="4"/>
      <c r="C931" s="4"/>
      <c r="D931" s="4"/>
      <c r="E931" s="4"/>
      <c r="F931" s="4"/>
      <c r="G931" s="4"/>
    </row>
    <row r="932" spans="1:7" ht="15.75" customHeight="1" x14ac:dyDescent="0.3">
      <c r="A932" s="4"/>
      <c r="B932" s="4"/>
      <c r="C932" s="4"/>
      <c r="D932" s="4"/>
      <c r="E932" s="4"/>
      <c r="F932" s="4"/>
      <c r="G932" s="4"/>
    </row>
    <row r="933" spans="1:7" ht="15.75" customHeight="1" x14ac:dyDescent="0.3">
      <c r="A933" s="4"/>
      <c r="B933" s="4"/>
      <c r="C933" s="4"/>
      <c r="D933" s="4"/>
      <c r="E933" s="4"/>
      <c r="F933" s="4"/>
      <c r="G933" s="4"/>
    </row>
    <row r="934" spans="1:7" ht="15.75" customHeight="1" x14ac:dyDescent="0.3">
      <c r="A934" s="4"/>
      <c r="B934" s="4"/>
      <c r="C934" s="4"/>
      <c r="D934" s="4"/>
      <c r="E934" s="4"/>
      <c r="F934" s="4"/>
      <c r="G934" s="4"/>
    </row>
    <row r="935" spans="1:7" ht="15.75" customHeight="1" x14ac:dyDescent="0.3">
      <c r="A935" s="4"/>
      <c r="B935" s="4"/>
      <c r="C935" s="4"/>
      <c r="D935" s="4"/>
      <c r="E935" s="4"/>
      <c r="F935" s="4"/>
      <c r="G935" s="4"/>
    </row>
    <row r="936" spans="1:7" ht="15.75" customHeight="1" x14ac:dyDescent="0.3">
      <c r="A936" s="4"/>
      <c r="B936" s="4"/>
      <c r="C936" s="4"/>
      <c r="D936" s="4"/>
      <c r="E936" s="4"/>
      <c r="F936" s="4"/>
      <c r="G936" s="4"/>
    </row>
    <row r="937" spans="1:7" ht="15.75" customHeight="1" x14ac:dyDescent="0.3">
      <c r="A937" s="4"/>
      <c r="B937" s="4"/>
      <c r="C937" s="4"/>
      <c r="D937" s="4"/>
      <c r="E937" s="4"/>
      <c r="F937" s="4"/>
      <c r="G937" s="4"/>
    </row>
    <row r="938" spans="1:7" ht="15.75" customHeight="1" x14ac:dyDescent="0.3">
      <c r="A938" s="4"/>
      <c r="B938" s="4"/>
      <c r="C938" s="4"/>
      <c r="D938" s="4"/>
      <c r="E938" s="4"/>
      <c r="F938" s="4"/>
      <c r="G938" s="4"/>
    </row>
    <row r="939" spans="1:7" ht="15.75" customHeight="1" x14ac:dyDescent="0.3">
      <c r="A939" s="4"/>
      <c r="B939" s="4"/>
      <c r="C939" s="4"/>
      <c r="D939" s="4"/>
      <c r="E939" s="4"/>
      <c r="F939" s="4"/>
      <c r="G939" s="4"/>
    </row>
    <row r="940" spans="1:7" ht="15.75" customHeight="1" x14ac:dyDescent="0.3">
      <c r="A940" s="4"/>
      <c r="B940" s="4"/>
      <c r="C940" s="4"/>
      <c r="D940" s="4"/>
      <c r="E940" s="4"/>
      <c r="F940" s="4"/>
      <c r="G940" s="4"/>
    </row>
    <row r="941" spans="1:7" ht="15.75" customHeight="1" x14ac:dyDescent="0.3">
      <c r="A941" s="4"/>
      <c r="B941" s="4"/>
      <c r="C941" s="4"/>
      <c r="D941" s="4"/>
      <c r="E941" s="4"/>
      <c r="F941" s="4"/>
      <c r="G941" s="4"/>
    </row>
    <row r="942" spans="1:7" ht="15.75" customHeight="1" x14ac:dyDescent="0.3">
      <c r="A942" s="4"/>
      <c r="B942" s="4"/>
      <c r="C942" s="4"/>
      <c r="D942" s="4"/>
      <c r="E942" s="4"/>
      <c r="F942" s="4"/>
      <c r="G942" s="4"/>
    </row>
    <row r="943" spans="1:7" ht="15.75" customHeight="1" x14ac:dyDescent="0.3">
      <c r="A943" s="4"/>
      <c r="B943" s="4"/>
      <c r="C943" s="4"/>
      <c r="D943" s="4"/>
      <c r="E943" s="4"/>
      <c r="F943" s="4"/>
      <c r="G943" s="4"/>
    </row>
    <row r="944" spans="1:7" ht="15.75" customHeight="1" x14ac:dyDescent="0.3">
      <c r="A944" s="4"/>
      <c r="B944" s="4"/>
      <c r="C944" s="4"/>
      <c r="D944" s="4"/>
      <c r="E944" s="4"/>
      <c r="F944" s="4"/>
      <c r="G944" s="4"/>
    </row>
    <row r="945" spans="1:7" ht="15.75" customHeight="1" x14ac:dyDescent="0.3">
      <c r="A945" s="4"/>
      <c r="B945" s="4"/>
      <c r="C945" s="4"/>
      <c r="D945" s="4"/>
      <c r="E945" s="4"/>
      <c r="F945" s="4"/>
      <c r="G945" s="4"/>
    </row>
    <row r="946" spans="1:7" ht="15.75" customHeight="1" x14ac:dyDescent="0.3">
      <c r="A946" s="4"/>
      <c r="B946" s="4"/>
      <c r="C946" s="4"/>
      <c r="D946" s="4"/>
      <c r="E946" s="4"/>
      <c r="F946" s="4"/>
      <c r="G946" s="4"/>
    </row>
    <row r="947" spans="1:7" ht="15.75" customHeight="1" x14ac:dyDescent="0.3">
      <c r="A947" s="4"/>
      <c r="B947" s="4"/>
      <c r="C947" s="4"/>
      <c r="D947" s="4"/>
      <c r="E947" s="4"/>
      <c r="F947" s="4"/>
      <c r="G947" s="4"/>
    </row>
    <row r="948" spans="1:7" ht="15.75" customHeight="1" x14ac:dyDescent="0.3">
      <c r="A948" s="4"/>
      <c r="B948" s="4"/>
      <c r="C948" s="4"/>
      <c r="D948" s="4"/>
      <c r="E948" s="4"/>
      <c r="F948" s="4"/>
      <c r="G948" s="4"/>
    </row>
    <row r="949" spans="1:7" ht="15.75" customHeight="1" x14ac:dyDescent="0.3">
      <c r="A949" s="4"/>
      <c r="B949" s="4"/>
      <c r="C949" s="4"/>
      <c r="D949" s="4"/>
      <c r="E949" s="4"/>
      <c r="F949" s="4"/>
      <c r="G949" s="4"/>
    </row>
    <row r="950" spans="1:7" ht="15.75" customHeight="1" x14ac:dyDescent="0.3">
      <c r="A950" s="4"/>
      <c r="B950" s="4"/>
      <c r="C950" s="4"/>
      <c r="D950" s="4"/>
      <c r="E950" s="4"/>
      <c r="F950" s="4"/>
      <c r="G950" s="4"/>
    </row>
    <row r="951" spans="1:7" ht="15.75" customHeight="1" x14ac:dyDescent="0.3">
      <c r="A951" s="4"/>
      <c r="B951" s="4"/>
      <c r="C951" s="4"/>
      <c r="D951" s="4"/>
      <c r="E951" s="4"/>
      <c r="F951" s="4"/>
      <c r="G951" s="4"/>
    </row>
    <row r="952" spans="1:7" ht="15.75" customHeight="1" x14ac:dyDescent="0.3">
      <c r="A952" s="4"/>
      <c r="B952" s="4"/>
      <c r="C952" s="4"/>
      <c r="D952" s="4"/>
      <c r="E952" s="4"/>
      <c r="F952" s="4"/>
      <c r="G952" s="4"/>
    </row>
    <row r="953" spans="1:7" ht="15.75" customHeight="1" x14ac:dyDescent="0.3">
      <c r="A953" s="4"/>
      <c r="B953" s="4"/>
      <c r="C953" s="4"/>
      <c r="D953" s="4"/>
      <c r="E953" s="4"/>
      <c r="F953" s="4"/>
      <c r="G953" s="4"/>
    </row>
    <row r="954" spans="1:7" ht="15.75" customHeight="1" x14ac:dyDescent="0.3">
      <c r="A954" s="4"/>
      <c r="B954" s="4"/>
      <c r="C954" s="4"/>
      <c r="D954" s="4"/>
      <c r="E954" s="4"/>
      <c r="F954" s="4"/>
      <c r="G954" s="4"/>
    </row>
    <row r="955" spans="1:7" ht="15.75" customHeight="1" x14ac:dyDescent="0.3">
      <c r="A955" s="4"/>
      <c r="B955" s="4"/>
      <c r="C955" s="4"/>
      <c r="D955" s="4"/>
      <c r="E955" s="4"/>
      <c r="F955" s="4"/>
      <c r="G955" s="4"/>
    </row>
    <row r="956" spans="1:7" ht="15.75" customHeight="1" x14ac:dyDescent="0.3">
      <c r="A956" s="4"/>
      <c r="B956" s="4"/>
      <c r="C956" s="4"/>
      <c r="D956" s="4"/>
      <c r="E956" s="4"/>
      <c r="F956" s="4"/>
      <c r="G956" s="4"/>
    </row>
    <row r="957" spans="1:7" ht="15.75" customHeight="1" x14ac:dyDescent="0.3">
      <c r="A957" s="4"/>
      <c r="B957" s="4"/>
      <c r="C957" s="4"/>
      <c r="D957" s="4"/>
      <c r="E957" s="4"/>
      <c r="F957" s="4"/>
      <c r="G957" s="4"/>
    </row>
    <row r="958" spans="1:7" ht="15.75" customHeight="1" x14ac:dyDescent="0.3">
      <c r="A958" s="4"/>
      <c r="B958" s="4"/>
      <c r="C958" s="4"/>
      <c r="D958" s="4"/>
      <c r="E958" s="4"/>
      <c r="F958" s="4"/>
      <c r="G958" s="4"/>
    </row>
    <row r="959" spans="1:7" ht="15.75" customHeight="1" x14ac:dyDescent="0.3">
      <c r="A959" s="4"/>
      <c r="B959" s="4"/>
      <c r="C959" s="4"/>
      <c r="D959" s="4"/>
      <c r="E959" s="4"/>
      <c r="F959" s="4"/>
      <c r="G959" s="4"/>
    </row>
    <row r="960" spans="1:7" ht="15.75" customHeight="1" x14ac:dyDescent="0.3">
      <c r="A960" s="4"/>
      <c r="B960" s="4"/>
      <c r="C960" s="4"/>
      <c r="D960" s="4"/>
      <c r="E960" s="4"/>
      <c r="F960" s="4"/>
      <c r="G960" s="4"/>
    </row>
    <row r="961" spans="1:7" ht="15.75" customHeight="1" x14ac:dyDescent="0.3">
      <c r="A961" s="4"/>
      <c r="B961" s="4"/>
      <c r="C961" s="4"/>
      <c r="D961" s="4"/>
      <c r="E961" s="4"/>
      <c r="F961" s="4"/>
      <c r="G961" s="4"/>
    </row>
    <row r="962" spans="1:7" ht="15.75" customHeight="1" x14ac:dyDescent="0.3">
      <c r="A962" s="4"/>
      <c r="B962" s="4"/>
      <c r="C962" s="4"/>
      <c r="D962" s="4"/>
      <c r="E962" s="4"/>
      <c r="F962" s="4"/>
      <c r="G962" s="4"/>
    </row>
    <row r="963" spans="1:7" ht="15.75" customHeight="1" x14ac:dyDescent="0.3">
      <c r="A963" s="4"/>
      <c r="B963" s="4"/>
      <c r="C963" s="4"/>
      <c r="D963" s="4"/>
      <c r="E963" s="4"/>
      <c r="F963" s="4"/>
      <c r="G963" s="4"/>
    </row>
    <row r="964" spans="1:7" ht="15.75" customHeight="1" x14ac:dyDescent="0.3">
      <c r="A964" s="4"/>
      <c r="B964" s="4"/>
      <c r="C964" s="4"/>
      <c r="D964" s="4"/>
      <c r="E964" s="4"/>
      <c r="F964" s="4"/>
      <c r="G964" s="4"/>
    </row>
    <row r="965" spans="1:7" ht="15.75" customHeight="1" x14ac:dyDescent="0.3">
      <c r="A965" s="4"/>
      <c r="B965" s="4"/>
      <c r="C965" s="4"/>
      <c r="D965" s="4"/>
      <c r="E965" s="4"/>
      <c r="F965" s="4"/>
      <c r="G965" s="4"/>
    </row>
    <row r="966" spans="1:7" ht="15.75" customHeight="1" x14ac:dyDescent="0.3">
      <c r="A966" s="4"/>
      <c r="B966" s="4"/>
      <c r="C966" s="4"/>
      <c r="D966" s="4"/>
      <c r="E966" s="4"/>
      <c r="F966" s="4"/>
      <c r="G966" s="4"/>
    </row>
    <row r="967" spans="1:7" ht="15.75" customHeight="1" x14ac:dyDescent="0.3">
      <c r="A967" s="4"/>
      <c r="B967" s="4"/>
      <c r="C967" s="4"/>
      <c r="D967" s="4"/>
      <c r="E967" s="4"/>
      <c r="F967" s="4"/>
      <c r="G967" s="4"/>
    </row>
    <row r="968" spans="1:7" ht="15.75" customHeight="1" x14ac:dyDescent="0.3">
      <c r="A968" s="4"/>
      <c r="B968" s="4"/>
      <c r="C968" s="4"/>
      <c r="D968" s="4"/>
      <c r="E968" s="4"/>
      <c r="F968" s="4"/>
      <c r="G968" s="4"/>
    </row>
    <row r="969" spans="1:7" ht="15.75" customHeight="1" x14ac:dyDescent="0.3">
      <c r="A969" s="4"/>
      <c r="B969" s="4"/>
      <c r="C969" s="4"/>
      <c r="D969" s="4"/>
      <c r="E969" s="4"/>
      <c r="F969" s="4"/>
      <c r="G969" s="4"/>
    </row>
    <row r="970" spans="1:7" ht="15.75" customHeight="1" x14ac:dyDescent="0.3">
      <c r="A970" s="4"/>
      <c r="B970" s="4"/>
      <c r="C970" s="4"/>
      <c r="D970" s="4"/>
      <c r="E970" s="4"/>
      <c r="F970" s="4"/>
      <c r="G970" s="4"/>
    </row>
    <row r="971" spans="1:7" ht="15.75" customHeight="1" x14ac:dyDescent="0.3">
      <c r="A971" s="4"/>
      <c r="B971" s="4"/>
      <c r="C971" s="4"/>
      <c r="D971" s="4"/>
      <c r="E971" s="4"/>
      <c r="F971" s="4"/>
      <c r="G971" s="4"/>
    </row>
    <row r="972" spans="1:7" ht="15.75" customHeight="1" x14ac:dyDescent="0.3">
      <c r="A972" s="4"/>
      <c r="B972" s="4"/>
      <c r="C972" s="4"/>
      <c r="D972" s="4"/>
      <c r="E972" s="4"/>
      <c r="F972" s="4"/>
      <c r="G972" s="4"/>
    </row>
    <row r="973" spans="1:7" ht="15.75" customHeight="1" x14ac:dyDescent="0.3">
      <c r="A973" s="4"/>
      <c r="B973" s="4"/>
      <c r="C973" s="4"/>
      <c r="D973" s="4"/>
      <c r="E973" s="4"/>
      <c r="F973" s="4"/>
      <c r="G973" s="4"/>
    </row>
    <row r="974" spans="1:7" ht="15.75" customHeight="1" x14ac:dyDescent="0.3">
      <c r="A974" s="4"/>
      <c r="B974" s="4"/>
      <c r="C974" s="4"/>
      <c r="D974" s="4"/>
      <c r="E974" s="4"/>
      <c r="F974" s="4"/>
      <c r="G974" s="4"/>
    </row>
    <row r="975" spans="1:7" ht="15.75" customHeight="1" x14ac:dyDescent="0.3">
      <c r="A975" s="4"/>
      <c r="B975" s="4"/>
      <c r="C975" s="4"/>
      <c r="D975" s="4"/>
      <c r="E975" s="4"/>
      <c r="F975" s="4"/>
      <c r="G975" s="4"/>
    </row>
    <row r="976" spans="1:7" ht="15.75" customHeight="1" x14ac:dyDescent="0.3">
      <c r="A976" s="4"/>
      <c r="B976" s="4"/>
      <c r="C976" s="4"/>
      <c r="D976" s="4"/>
      <c r="E976" s="4"/>
      <c r="F976" s="4"/>
      <c r="G976" s="4"/>
    </row>
    <row r="977" spans="1:7" ht="15.75" customHeight="1" x14ac:dyDescent="0.3">
      <c r="A977" s="4"/>
      <c r="B977" s="4"/>
      <c r="C977" s="4"/>
      <c r="D977" s="4"/>
      <c r="E977" s="4"/>
      <c r="F977" s="4"/>
      <c r="G977" s="4"/>
    </row>
    <row r="978" spans="1:7" ht="15.75" customHeight="1" x14ac:dyDescent="0.3">
      <c r="A978" s="4"/>
      <c r="B978" s="4"/>
      <c r="C978" s="4"/>
      <c r="D978" s="4"/>
      <c r="E978" s="4"/>
      <c r="F978" s="4"/>
      <c r="G978" s="4"/>
    </row>
    <row r="979" spans="1:7" ht="15.75" customHeight="1" x14ac:dyDescent="0.3">
      <c r="A979" s="4"/>
      <c r="B979" s="4"/>
      <c r="C979" s="4"/>
      <c r="D979" s="4"/>
      <c r="E979" s="4"/>
      <c r="F979" s="4"/>
      <c r="G979" s="4"/>
    </row>
    <row r="980" spans="1:7" ht="15.75" customHeight="1" x14ac:dyDescent="0.3">
      <c r="A980" s="4"/>
      <c r="B980" s="4"/>
      <c r="C980" s="4"/>
      <c r="D980" s="4"/>
      <c r="E980" s="4"/>
      <c r="F980" s="4"/>
      <c r="G980" s="4"/>
    </row>
    <row r="981" spans="1:7" ht="15.75" customHeight="1" x14ac:dyDescent="0.3">
      <c r="A981" s="4"/>
      <c r="B981" s="4"/>
      <c r="C981" s="4"/>
      <c r="D981" s="4"/>
      <c r="E981" s="4"/>
      <c r="F981" s="4"/>
      <c r="G981" s="4"/>
    </row>
    <row r="982" spans="1:7" ht="15.75" customHeight="1" x14ac:dyDescent="0.3">
      <c r="A982" s="4"/>
      <c r="B982" s="4"/>
      <c r="C982" s="4"/>
      <c r="D982" s="4"/>
      <c r="E982" s="4"/>
      <c r="F982" s="4"/>
      <c r="G982" s="4"/>
    </row>
    <row r="983" spans="1:7" ht="15.75" customHeight="1" x14ac:dyDescent="0.3">
      <c r="A983" s="4"/>
      <c r="B983" s="4"/>
      <c r="C983" s="4"/>
      <c r="D983" s="4"/>
      <c r="E983" s="4"/>
      <c r="F983" s="4"/>
      <c r="G983" s="4"/>
    </row>
    <row r="984" spans="1:7" ht="15.75" customHeight="1" x14ac:dyDescent="0.3">
      <c r="A984" s="4"/>
      <c r="B984" s="4"/>
      <c r="C984" s="4"/>
      <c r="D984" s="4"/>
      <c r="E984" s="4"/>
      <c r="F984" s="4"/>
      <c r="G984" s="4"/>
    </row>
    <row r="985" spans="1:7" ht="15.75" customHeight="1" x14ac:dyDescent="0.3">
      <c r="A985" s="4"/>
      <c r="B985" s="4"/>
      <c r="C985" s="4"/>
      <c r="D985" s="4"/>
      <c r="E985" s="4"/>
      <c r="F985" s="4"/>
      <c r="G985" s="4"/>
    </row>
    <row r="986" spans="1:7" ht="15.75" customHeight="1" x14ac:dyDescent="0.3">
      <c r="A986" s="4"/>
      <c r="B986" s="4"/>
      <c r="C986" s="4"/>
      <c r="D986" s="4"/>
      <c r="E986" s="4"/>
      <c r="F986" s="4"/>
      <c r="G986" s="4"/>
    </row>
    <row r="987" spans="1:7" ht="15.75" customHeight="1" x14ac:dyDescent="0.3">
      <c r="A987" s="4"/>
      <c r="B987" s="4"/>
      <c r="C987" s="4"/>
      <c r="D987" s="4"/>
      <c r="E987" s="4"/>
      <c r="F987" s="4"/>
      <c r="G987" s="4"/>
    </row>
    <row r="988" spans="1:7" ht="15.75" customHeight="1" x14ac:dyDescent="0.3">
      <c r="A988" s="4"/>
      <c r="B988" s="4"/>
      <c r="C988" s="4"/>
      <c r="D988" s="4"/>
      <c r="E988" s="4"/>
      <c r="F988" s="4"/>
      <c r="G988" s="4"/>
    </row>
    <row r="989" spans="1:7" ht="15.75" customHeight="1" x14ac:dyDescent="0.3">
      <c r="A989" s="4"/>
      <c r="B989" s="4"/>
      <c r="C989" s="4"/>
      <c r="D989" s="4"/>
      <c r="E989" s="4"/>
      <c r="F989" s="4"/>
      <c r="G989" s="4"/>
    </row>
    <row r="990" spans="1:7" ht="15.75" customHeight="1" x14ac:dyDescent="0.3">
      <c r="A990" s="4"/>
      <c r="B990" s="4"/>
      <c r="C990" s="4"/>
      <c r="D990" s="4"/>
      <c r="E990" s="4"/>
      <c r="F990" s="4"/>
      <c r="G990" s="4"/>
    </row>
    <row r="991" spans="1:7" ht="15.75" customHeight="1" x14ac:dyDescent="0.3">
      <c r="A991" s="4"/>
      <c r="B991" s="4"/>
      <c r="C991" s="4"/>
      <c r="D991" s="4"/>
      <c r="E991" s="4"/>
      <c r="F991" s="4"/>
      <c r="G991" s="4"/>
    </row>
    <row r="992" spans="1:7" ht="15.75" customHeight="1" x14ac:dyDescent="0.3">
      <c r="A992" s="4"/>
      <c r="B992" s="4"/>
      <c r="C992" s="4"/>
      <c r="D992" s="4"/>
      <c r="E992" s="4"/>
      <c r="F992" s="4"/>
      <c r="G992" s="4"/>
    </row>
    <row r="993" spans="1:7" ht="15.75" customHeight="1" x14ac:dyDescent="0.3">
      <c r="A993" s="4"/>
      <c r="B993" s="4"/>
      <c r="C993" s="4"/>
      <c r="D993" s="4"/>
      <c r="E993" s="4"/>
      <c r="F993" s="4"/>
      <c r="G993" s="4"/>
    </row>
    <row r="994" spans="1:7" ht="15.75" customHeight="1" x14ac:dyDescent="0.3">
      <c r="A994" s="4"/>
      <c r="B994" s="4"/>
      <c r="C994" s="4"/>
      <c r="D994" s="4"/>
      <c r="E994" s="4"/>
      <c r="F994" s="4"/>
      <c r="G994" s="4"/>
    </row>
    <row r="995" spans="1:7" ht="15.75" customHeight="1" x14ac:dyDescent="0.3">
      <c r="A995" s="4"/>
      <c r="B995" s="4"/>
      <c r="C995" s="4"/>
      <c r="D995" s="4"/>
      <c r="E995" s="4"/>
      <c r="F995" s="4"/>
      <c r="G995" s="4"/>
    </row>
    <row r="996" spans="1:7" ht="15.75" customHeight="1" x14ac:dyDescent="0.3">
      <c r="A996" s="4"/>
      <c r="B996" s="4"/>
      <c r="C996" s="4"/>
      <c r="D996" s="4"/>
      <c r="E996" s="4"/>
      <c r="F996" s="4"/>
      <c r="G996" s="4"/>
    </row>
    <row r="997" spans="1:7" ht="15.75" customHeight="1" x14ac:dyDescent="0.3">
      <c r="A997" s="4"/>
      <c r="B997" s="4"/>
      <c r="C997" s="4"/>
      <c r="D997" s="4"/>
      <c r="E997" s="4"/>
      <c r="F997" s="4"/>
      <c r="G997" s="4"/>
    </row>
    <row r="998" spans="1:7" ht="15.75" customHeight="1" x14ac:dyDescent="0.3">
      <c r="A998" s="4"/>
      <c r="B998" s="4"/>
      <c r="C998" s="4"/>
      <c r="D998" s="4"/>
      <c r="E998" s="4"/>
      <c r="F998" s="4"/>
      <c r="G998" s="4"/>
    </row>
    <row r="999" spans="1:7" ht="15.75" customHeight="1" x14ac:dyDescent="0.3">
      <c r="A999" s="4"/>
      <c r="B999" s="4"/>
      <c r="C999" s="4"/>
      <c r="D999" s="4"/>
      <c r="E999" s="4"/>
      <c r="F999" s="4"/>
      <c r="G999" s="4"/>
    </row>
    <row r="1000" spans="1:7" ht="15.75" customHeight="1" x14ac:dyDescent="0.3">
      <c r="A1000" s="4"/>
      <c r="B1000" s="4"/>
      <c r="C1000" s="4"/>
      <c r="D1000" s="4"/>
      <c r="E1000" s="4"/>
      <c r="F1000" s="4"/>
      <c r="G1000" s="4"/>
    </row>
  </sheetData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BYAN_Analysis</vt:lpstr>
      <vt:lpstr>Event_Rumor</vt:lpstr>
      <vt:lpstr>Parameter</vt:lpstr>
      <vt:lpstr>Skala_Variabel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Dzaky Murtadho</cp:lastModifiedBy>
  <dcterms:created xsi:type="dcterms:W3CDTF">2026-10-03T07:30:43Z</dcterms:created>
  <dcterms:modified xsi:type="dcterms:W3CDTF">2026-10-03T12:03:20Z</dcterms:modified>
</cp:coreProperties>
</file>